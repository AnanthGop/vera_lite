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ya\Downloads\"/>
    </mc:Choice>
  </mc:AlternateContent>
  <xr:revisionPtr revIDLastSave="0" documentId="13_ncr:1_{8B2C73BC-30BE-4F6B-921F-EB90A07634E4}" xr6:coauthVersionLast="47" xr6:coauthVersionMax="47" xr10:uidLastSave="{00000000-0000-0000-0000-000000000000}"/>
  <bookViews>
    <workbookView xWindow="-108" yWindow="-108" windowWidth="23256" windowHeight="12456" xr2:uid="{EFFE586A-0CCA-4364-A446-C4300FAF9ADA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0" hidden="1">Sheet2!$D$4:$D$72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2" i="2" l="1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<sst xmlns="http://schemas.openxmlformats.org/spreadsheetml/2006/main" count="5734" uniqueCount="952">
  <si>
    <t>TransactionId</t>
  </si>
  <si>
    <t>Voucher</t>
  </si>
  <si>
    <t>Check</t>
  </si>
  <si>
    <t>Amount (Original)</t>
  </si>
  <si>
    <t>Amount (Base USD)</t>
  </si>
  <si>
    <t>Amount (Base)</t>
  </si>
  <si>
    <t>Currency (Original)</t>
  </si>
  <si>
    <t>Account Code</t>
  </si>
  <si>
    <t>HFM Account</t>
  </si>
  <si>
    <t>Journal Type</t>
  </si>
  <si>
    <t>Journal Desc</t>
  </si>
  <si>
    <t>Customer or Supplier</t>
  </si>
  <si>
    <t>Transaction Date</t>
  </si>
  <si>
    <t>Transaction Entered By</t>
  </si>
  <si>
    <t>Transaction Entered Date</t>
  </si>
  <si>
    <t>Transaction Updated By</t>
  </si>
  <si>
    <t>Transaction Updated Date</t>
  </si>
  <si>
    <t>COY_ID</t>
  </si>
  <si>
    <t>Entity Name</t>
  </si>
  <si>
    <t>Vessel AUX</t>
  </si>
  <si>
    <t>Reference</t>
  </si>
  <si>
    <t>Updated in ODP</t>
  </si>
  <si>
    <t>Transaction Open</t>
  </si>
  <si>
    <t>Transaction Text</t>
  </si>
  <si>
    <t>V70000095240</t>
  </si>
  <si>
    <t>BRTFWD</t>
  </si>
  <si>
    <t>Y</t>
  </si>
  <si>
    <t>SGD</t>
  </si>
  <si>
    <t>BS10140</t>
  </si>
  <si>
    <t>OB</t>
  </si>
  <si>
    <t>Opening Balance</t>
  </si>
  <si>
    <t>Mini Nair</t>
  </si>
  <si>
    <t>Yes</t>
  </si>
  <si>
    <t>V70000095246</t>
  </si>
  <si>
    <t>BS10522</t>
  </si>
  <si>
    <t>V70000095254</t>
  </si>
  <si>
    <t>BS10560</t>
  </si>
  <si>
    <t>V70000095547</t>
  </si>
  <si>
    <t>USD</t>
  </si>
  <si>
    <t>BS20102</t>
  </si>
  <si>
    <t>V70000095548</t>
  </si>
  <si>
    <t>BS32200</t>
  </si>
  <si>
    <t>V70000095755</t>
  </si>
  <si>
    <t>OBTFER</t>
  </si>
  <si>
    <t>OJ</t>
  </si>
  <si>
    <t>Opening Balance Transfer</t>
  </si>
  <si>
    <t>TRANSFER FROM 1100301</t>
  </si>
  <si>
    <t>V70000095762</t>
  </si>
  <si>
    <t>TRANSFER FROM 1110102</t>
  </si>
  <si>
    <t>V70000095766</t>
  </si>
  <si>
    <t>TRANSFER FROM 1110602</t>
  </si>
  <si>
    <t>V70000095245</t>
  </si>
  <si>
    <t>BS11110</t>
  </si>
  <si>
    <t>V70000095247</t>
  </si>
  <si>
    <t>V70000095294</t>
  </si>
  <si>
    <t>BS36500</t>
  </si>
  <si>
    <t>V70000095308</t>
  </si>
  <si>
    <t>BS25320</t>
  </si>
  <si>
    <t>V70000095494</t>
  </si>
  <si>
    <t>BS21900</t>
  </si>
  <si>
    <t>V70000095495</t>
  </si>
  <si>
    <t>VCORGSE0060</t>
  </si>
  <si>
    <t>VVA - Vouvray Acquisition Ltd</t>
  </si>
  <si>
    <t>V70000095496</t>
  </si>
  <si>
    <t>VCREGSM0034</t>
  </si>
  <si>
    <t>IMT Inter. Maritime Technical Services</t>
  </si>
  <si>
    <t>V70000095497</t>
  </si>
  <si>
    <t>VCREGSM0041</t>
  </si>
  <si>
    <t>VGP - V.Group Manpower Services</t>
  </si>
  <si>
    <t>V70000095498</t>
  </si>
  <si>
    <t>VCREGSM0265</t>
  </si>
  <si>
    <t>CSL V.Crew (Shanghai) Limited</t>
  </si>
  <si>
    <t>V70000095499</t>
  </si>
  <si>
    <t>VLEIGLE0005</t>
  </si>
  <si>
    <t xml:space="preserve">CAT OCL Catering Ltd (Cyprus) </t>
  </si>
  <si>
    <t>V70000095500</t>
  </si>
  <si>
    <t>VSERGSE0041</t>
  </si>
  <si>
    <t>MSD MSD Management</t>
  </si>
  <si>
    <t>V70000095501</t>
  </si>
  <si>
    <t>VSERGSE0053</t>
  </si>
  <si>
    <t>SCMN - Seacom Electronics (New)</t>
  </si>
  <si>
    <t>V70000095502</t>
  </si>
  <si>
    <t>VSERGSE0066</t>
  </si>
  <si>
    <t>IAPH - Inter Argo PH Inc</t>
  </si>
  <si>
    <t>V70000095503</t>
  </si>
  <si>
    <t>VSERGSM0047</t>
  </si>
  <si>
    <t xml:space="preserve">GLW - V.Ships UK Ltd </t>
  </si>
  <si>
    <t>V70000095504</t>
  </si>
  <si>
    <t>VSERGSM0053</t>
  </si>
  <si>
    <t>VSG V.SHIPS GREECE LTD</t>
  </si>
  <si>
    <t>V70000095505</t>
  </si>
  <si>
    <t>VSERGSM0091</t>
  </si>
  <si>
    <t>VSCN V.Ships Management (India) Private Limited</t>
  </si>
  <si>
    <t>V70000095506</t>
  </si>
  <si>
    <t>VSERGSM0108</t>
  </si>
  <si>
    <t>ITMD International Tanker Management Ltd Dubai</t>
  </si>
  <si>
    <t>V70000095507</t>
  </si>
  <si>
    <t>VSERGSM0114</t>
  </si>
  <si>
    <t>SRIN Seatec World Repair Services (New)</t>
  </si>
  <si>
    <t>V70000095508</t>
  </si>
  <si>
    <t>VSERGSM0115</t>
  </si>
  <si>
    <t>VMIN V.SHIPS MANAGEMENT (New)</t>
  </si>
  <si>
    <t>V70000095509</t>
  </si>
  <si>
    <t>VSERGSM0146</t>
  </si>
  <si>
    <t>SCL SeaTec China Limited</t>
  </si>
  <si>
    <t>V70000095510</t>
  </si>
  <si>
    <t>VSERGSM0159</t>
  </si>
  <si>
    <t>SSCM SHIP SUPPLY CHAIN MANAGEMENT BRANCH</t>
  </si>
  <si>
    <t>V70000095511</t>
  </si>
  <si>
    <t>VSERGSM0174</t>
  </si>
  <si>
    <t>VGGS V.GROUP GLOBAL (SINGAPORE) Pte Ltd.</t>
  </si>
  <si>
    <t>V70000095248</t>
  </si>
  <si>
    <t>BS10530</t>
  </si>
  <si>
    <t>V70000095289</t>
  </si>
  <si>
    <t>BS28200</t>
  </si>
  <si>
    <t>V70000095290</t>
  </si>
  <si>
    <t>V70000095291</t>
  </si>
  <si>
    <t>BS27100</t>
  </si>
  <si>
    <t>V70000095298</t>
  </si>
  <si>
    <t>BS09522</t>
  </si>
  <si>
    <t>V70000095299</t>
  </si>
  <si>
    <t>V70000095300</t>
  </si>
  <si>
    <t>V70000095307</t>
  </si>
  <si>
    <t>BS25400</t>
  </si>
  <si>
    <t>LEVANT</t>
  </si>
  <si>
    <t>V70000095546</t>
  </si>
  <si>
    <t>V70000095568</t>
  </si>
  <si>
    <t>BS33200</t>
  </si>
  <si>
    <t>V70000095584</t>
  </si>
  <si>
    <t>IGNORE</t>
  </si>
  <si>
    <t>V70000095585</t>
  </si>
  <si>
    <t>V70000095586</t>
  </si>
  <si>
    <t>VSERGSM0125</t>
  </si>
  <si>
    <t>VSAG V.Ships Asia Group Pte Ltd (HOLDING)</t>
  </si>
  <si>
    <t>V70000095587</t>
  </si>
  <si>
    <t>VSERGSM0149</t>
  </si>
  <si>
    <t>VSPN V.SHIPS (PAPUA NEW GUINEA) LTD</t>
  </si>
  <si>
    <t>V70000095588</t>
  </si>
  <si>
    <t>VSERGSM0176</t>
  </si>
  <si>
    <t>VSSL V.Ships (Shanghai) LTD</t>
  </si>
  <si>
    <t>V70000095763</t>
  </si>
  <si>
    <t>TRANSFER FROM 1110202</t>
  </si>
  <si>
    <t>V70000095512</t>
  </si>
  <si>
    <t>VSERGSM0189</t>
  </si>
  <si>
    <t>BSIN V.SHIPS OFFSHORE (ASIA) PTE. LTD.</t>
  </si>
  <si>
    <t>V70000095513</t>
  </si>
  <si>
    <t>VSERGSM0196</t>
  </si>
  <si>
    <t>CISI SeaTec Services PTE Ltd</t>
  </si>
  <si>
    <t>V70000095514</t>
  </si>
  <si>
    <t>VSERGSM0204</t>
  </si>
  <si>
    <t>CMPL SELANDIA CREW MANAGEMENT PTE LTD</t>
  </si>
  <si>
    <t>V70000095515</t>
  </si>
  <si>
    <t>VSERGSM0205</t>
  </si>
  <si>
    <t>SMSG SELANDIA SHIP MANAGEMENT (SINGAPORE) PTE LTD</t>
  </si>
  <si>
    <t>V70000095516</t>
  </si>
  <si>
    <t>VSERGSM0218</t>
  </si>
  <si>
    <t>UMCR - SEATEC EU AND GLOBAL</t>
  </si>
  <si>
    <t>V70000095517</t>
  </si>
  <si>
    <t>VSERGSM0249</t>
  </si>
  <si>
    <t>CBM Seatec Condition Monitoring</t>
  </si>
  <si>
    <t>V70000095518</t>
  </si>
  <si>
    <t>VSERGSM0257</t>
  </si>
  <si>
    <t>VPSS IT INFRASTRUCTURE</t>
  </si>
  <si>
    <t>V70000095582</t>
  </si>
  <si>
    <t>V70000095583</t>
  </si>
  <si>
    <t>V70000095757</t>
  </si>
  <si>
    <t>TRANSFER TO 1110100</t>
  </si>
  <si>
    <t>V70000095243</t>
  </si>
  <si>
    <t>BS10160</t>
  </si>
  <si>
    <t>V70000095293</t>
  </si>
  <si>
    <t>V70000095309</t>
  </si>
  <si>
    <t>BS25330</t>
  </si>
  <si>
    <t>V70000095521</t>
  </si>
  <si>
    <t>BS32900</t>
  </si>
  <si>
    <t>V70000095545</t>
  </si>
  <si>
    <t>BS36000</t>
  </si>
  <si>
    <t>V70000095756</t>
  </si>
  <si>
    <t>TRANSFER FROM 1100601</t>
  </si>
  <si>
    <t>V70000095239</t>
  </si>
  <si>
    <t>BS10130</t>
  </si>
  <si>
    <t>V70000095292</t>
  </si>
  <si>
    <t>V70000095295</t>
  </si>
  <si>
    <t>BS27110</t>
  </si>
  <si>
    <t>V70000095296</t>
  </si>
  <si>
    <t>V70000095297</t>
  </si>
  <si>
    <t>V70000095301</t>
  </si>
  <si>
    <t>BS09540</t>
  </si>
  <si>
    <t>V70000095302</t>
  </si>
  <si>
    <t>V70000095523</t>
  </si>
  <si>
    <t>BS31100</t>
  </si>
  <si>
    <t>V70000095524</t>
  </si>
  <si>
    <t>BS38210</t>
  </si>
  <si>
    <t>VCORGSE0055</t>
  </si>
  <si>
    <t xml:space="preserve">VPLN Viplex </t>
  </si>
  <si>
    <t>V70000095525</t>
  </si>
  <si>
    <t>V70000095526</t>
  </si>
  <si>
    <t>V70000095527</t>
  </si>
  <si>
    <t>VCREGSM0076</t>
  </si>
  <si>
    <t>IND V.SHIPS INDIA Pvt LTD</t>
  </si>
  <si>
    <t>V70000095528</t>
  </si>
  <si>
    <t>VSERGLE0009</t>
  </si>
  <si>
    <t>VSTN Global Marine Travel</t>
  </si>
  <si>
    <t>V70000095529</t>
  </si>
  <si>
    <t>VSERGSE0052</t>
  </si>
  <si>
    <t>MSTN Marine Safety &amp; Training Services (New)</t>
  </si>
  <si>
    <t>V70000095530</t>
  </si>
  <si>
    <t>V70000095531</t>
  </si>
  <si>
    <t>VSERGSM0046</t>
  </si>
  <si>
    <t>VCY V.SHIPS LTD (CYPRUS)</t>
  </si>
  <si>
    <t>V70000095532</t>
  </si>
  <si>
    <t>V70000095533</t>
  </si>
  <si>
    <t>V70000095534</t>
  </si>
  <si>
    <t>V70000095535</t>
  </si>
  <si>
    <t>V70000095536</t>
  </si>
  <si>
    <t>V70000095537</t>
  </si>
  <si>
    <t>V70000095238</t>
  </si>
  <si>
    <t>V70000095252</t>
  </si>
  <si>
    <t>BS10540</t>
  </si>
  <si>
    <t>V70000095253</t>
  </si>
  <si>
    <t>V70000095256</t>
  </si>
  <si>
    <t>BS11510</t>
  </si>
  <si>
    <t>V70000095257</t>
  </si>
  <si>
    <t>BS09103</t>
  </si>
  <si>
    <t>V70000095260</t>
  </si>
  <si>
    <t>V70000095265</t>
  </si>
  <si>
    <t>BS20101</t>
  </si>
  <si>
    <t>V70000095266</t>
  </si>
  <si>
    <t>BS26100</t>
  </si>
  <si>
    <t>V70000095267</t>
  </si>
  <si>
    <t>V70000095268</t>
  </si>
  <si>
    <t>V70000095269</t>
  </si>
  <si>
    <t>V70000095270</t>
  </si>
  <si>
    <t>V70000095271</t>
  </si>
  <si>
    <t>V70000095272</t>
  </si>
  <si>
    <t>VSERGSE0072</t>
  </si>
  <si>
    <t>GMFL - Global Marine Travel LLC</t>
  </si>
  <si>
    <t>V70000095273</t>
  </si>
  <si>
    <t>VSERGSE0075</t>
  </si>
  <si>
    <t>MTS - MSD Management (NEW)</t>
  </si>
  <si>
    <t>V70000095274</t>
  </si>
  <si>
    <t>V70000095275</t>
  </si>
  <si>
    <t>V70000095276</t>
  </si>
  <si>
    <t>V70000095277</t>
  </si>
  <si>
    <t>V70000095278</t>
  </si>
  <si>
    <t>V70000095279</t>
  </si>
  <si>
    <t>V70000095280</t>
  </si>
  <si>
    <t>V70000095538</t>
  </si>
  <si>
    <t>V70000095539</t>
  </si>
  <si>
    <t>V70000095540</t>
  </si>
  <si>
    <t>VSERGSM0206</t>
  </si>
  <si>
    <t>SMIN SELANDIA SHIPMANAGEMENT (INDIA) PVT LTD</t>
  </si>
  <si>
    <t>V70000095541</t>
  </si>
  <si>
    <t>VSERGSM0258</t>
  </si>
  <si>
    <t>NRSG V. Ships (Hamburg) GmbH &amp; Co KG</t>
  </si>
  <si>
    <t>V70000095542</t>
  </si>
  <si>
    <t>VSERGSM0277</t>
  </si>
  <si>
    <t>Belships Management (Singapore) Pte Ltd</t>
  </si>
  <si>
    <t>V70000095543</t>
  </si>
  <si>
    <t>VSERGSM0280</t>
  </si>
  <si>
    <t>EHCS - E-HUB CORPORATE SERVICES PRIVATE LIMITED</t>
  </si>
  <si>
    <t>V70000095544</t>
  </si>
  <si>
    <t>VSERGSM0283</t>
  </si>
  <si>
    <t>CHEN -V SHIPS SHIP MANAGEMENT INDIA PRIVATE LTD</t>
  </si>
  <si>
    <t>V70000095569</t>
  </si>
  <si>
    <t>V70000095570</t>
  </si>
  <si>
    <t>V70000095571</t>
  </si>
  <si>
    <t>V70000095572</t>
  </si>
  <si>
    <t>V70000095573</t>
  </si>
  <si>
    <t>V70000095574</t>
  </si>
  <si>
    <t>V70000095575</t>
  </si>
  <si>
    <t>V70000095576</t>
  </si>
  <si>
    <t>V70000095577</t>
  </si>
  <si>
    <t>V70000095578</t>
  </si>
  <si>
    <t>V70000095579</t>
  </si>
  <si>
    <t>V70000095580</t>
  </si>
  <si>
    <t>VSERGSM0268</t>
  </si>
  <si>
    <t>ISTA V.SHIPS ISTANBUL MARINE SERVICES USD</t>
  </si>
  <si>
    <t>V70000095581</t>
  </si>
  <si>
    <t>V70000095599</t>
  </si>
  <si>
    <t>BS53000</t>
  </si>
  <si>
    <t>V70000095237</t>
  </si>
  <si>
    <t>BS10103</t>
  </si>
  <si>
    <t>V70000095241</t>
  </si>
  <si>
    <t>V70000095250</t>
  </si>
  <si>
    <t>V70000095251</t>
  </si>
  <si>
    <t>V70000095261</t>
  </si>
  <si>
    <t>BS09130</t>
  </si>
  <si>
    <t>V70000095262</t>
  </si>
  <si>
    <t>V70000095263</t>
  </si>
  <si>
    <t>BS11120</t>
  </si>
  <si>
    <t>V70000095264</t>
  </si>
  <si>
    <t>BS12010</t>
  </si>
  <si>
    <t>V70000095552</t>
  </si>
  <si>
    <t>BS33210</t>
  </si>
  <si>
    <t>AZUNOV</t>
  </si>
  <si>
    <t>V70000095557</t>
  </si>
  <si>
    <t>CLYDE2</t>
  </si>
  <si>
    <t>V70000095559</t>
  </si>
  <si>
    <t>GULLIT</t>
  </si>
  <si>
    <t>V70000095560</t>
  </si>
  <si>
    <t>LARA20</t>
  </si>
  <si>
    <t>V70000095591</t>
  </si>
  <si>
    <t>BS41662</t>
  </si>
  <si>
    <t>V70000095592</t>
  </si>
  <si>
    <t>V70000095593</t>
  </si>
  <si>
    <t>V70000095752</t>
  </si>
  <si>
    <t>TRANSFER TO 1100300</t>
  </si>
  <si>
    <t>V70000095759</t>
  </si>
  <si>
    <t>TRANSFER TO 1110300</t>
  </si>
  <si>
    <t>V70000095764</t>
  </si>
  <si>
    <t>TRANSFER FROM 1110302</t>
  </si>
  <si>
    <t>V70000095242</t>
  </si>
  <si>
    <t>V70000095244</t>
  </si>
  <si>
    <t>V70000095249</t>
  </si>
  <si>
    <t>V70000095255</t>
  </si>
  <si>
    <t>V70000095258</t>
  </si>
  <si>
    <t>V70000095259</t>
  </si>
  <si>
    <t>V70000095288</t>
  </si>
  <si>
    <t>BS28400</t>
  </si>
  <si>
    <t>V70000095310</t>
  </si>
  <si>
    <t>BS21300</t>
  </si>
  <si>
    <t>V70000095519</t>
  </si>
  <si>
    <t>BS22500</t>
  </si>
  <si>
    <t>V70000095753</t>
  </si>
  <si>
    <t>TRANSFER TO 1100600</t>
  </si>
  <si>
    <t>V70000095758</t>
  </si>
  <si>
    <t>TRANSFER TO 1110200</t>
  </si>
  <si>
    <t>V70000095761</t>
  </si>
  <si>
    <t>TRANSFER TO 1110600</t>
  </si>
  <si>
    <t>V70000095281</t>
  </si>
  <si>
    <t>V70000095282</t>
  </si>
  <si>
    <t>V70000095283</t>
  </si>
  <si>
    <t>V70000095284</t>
  </si>
  <si>
    <t>V70000095285</t>
  </si>
  <si>
    <t>V70000095286</t>
  </si>
  <si>
    <t>V70000095287</t>
  </si>
  <si>
    <t>V70000095303</t>
  </si>
  <si>
    <t>BS25100</t>
  </si>
  <si>
    <t>V70000095316</t>
  </si>
  <si>
    <t>BS22000</t>
  </si>
  <si>
    <t>apcalc</t>
  </si>
  <si>
    <t>V70000095327</t>
  </si>
  <si>
    <t>V70000095344</t>
  </si>
  <si>
    <t>CLMONA</t>
  </si>
  <si>
    <t>V70000095347</t>
  </si>
  <si>
    <t>V70000095359</t>
  </si>
  <si>
    <t>EASNYM</t>
  </si>
  <si>
    <t>V70000095361</t>
  </si>
  <si>
    <t>EASOSP</t>
  </si>
  <si>
    <t>V70000095372</t>
  </si>
  <si>
    <t>gemhon</t>
  </si>
  <si>
    <t>V70000095373</t>
  </si>
  <si>
    <t>V70000095378</t>
  </si>
  <si>
    <t>hezhsh</t>
  </si>
  <si>
    <t>V70000095380</t>
  </si>
  <si>
    <t>HMEURY</t>
  </si>
  <si>
    <t>V70000095384</t>
  </si>
  <si>
    <t>JBBAY</t>
  </si>
  <si>
    <t>V70000095386</t>
  </si>
  <si>
    <t>JUPBAY</t>
  </si>
  <si>
    <t>V70000095387</t>
  </si>
  <si>
    <t>KAMSAR</t>
  </si>
  <si>
    <t>V70000095388</t>
  </si>
  <si>
    <t>KHAWRA</t>
  </si>
  <si>
    <t>V70000095396</t>
  </si>
  <si>
    <t>V70000095600</t>
  </si>
  <si>
    <t>ROLCLR</t>
  </si>
  <si>
    <t>Strachan, Iain</t>
  </si>
  <si>
    <t>Roll and Clear - 3302000</t>
  </si>
  <si>
    <t>V70000095608</t>
  </si>
  <si>
    <t>V70000095618</t>
  </si>
  <si>
    <t>V70000095621</t>
  </si>
  <si>
    <t>V70000095628</t>
  </si>
  <si>
    <t>V70000095630</t>
  </si>
  <si>
    <t>V70000095642</t>
  </si>
  <si>
    <t>V70000095646</t>
  </si>
  <si>
    <t>V70000095657</t>
  </si>
  <si>
    <t>OCNADR</t>
  </si>
  <si>
    <t>V70000095662</t>
  </si>
  <si>
    <t>V70000095668</t>
  </si>
  <si>
    <t>PACIJA</t>
  </si>
  <si>
    <t>V70000095675</t>
  </si>
  <si>
    <t>PROPAS</t>
  </si>
  <si>
    <t>V70000095686</t>
  </si>
  <si>
    <t>SCLMER</t>
  </si>
  <si>
    <t>V70000095691</t>
  </si>
  <si>
    <t>SINTOR</t>
  </si>
  <si>
    <t>V70000095697</t>
  </si>
  <si>
    <t>V70000095709</t>
  </si>
  <si>
    <t>V70000095710</t>
  </si>
  <si>
    <t>V70000095711</t>
  </si>
  <si>
    <t>V70000095712</t>
  </si>
  <si>
    <t>V70000095713</t>
  </si>
  <si>
    <t>V70000095714</t>
  </si>
  <si>
    <t>VESTA</t>
  </si>
  <si>
    <t>V70000095715</t>
  </si>
  <si>
    <t>V70000095716</t>
  </si>
  <si>
    <t>V70000095717</t>
  </si>
  <si>
    <t>V70000095718</t>
  </si>
  <si>
    <t>V70000095719</t>
  </si>
  <si>
    <t>V70000095720</t>
  </si>
  <si>
    <t>V70000095721</t>
  </si>
  <si>
    <t>V70000095722</t>
  </si>
  <si>
    <t>V70000095723</t>
  </si>
  <si>
    <t>V70000095724</t>
  </si>
  <si>
    <t>V70000095725</t>
  </si>
  <si>
    <t>V70000095726</t>
  </si>
  <si>
    <t>V70000095727</t>
  </si>
  <si>
    <t>V70000095728</t>
  </si>
  <si>
    <t>VSERGSM0107</t>
  </si>
  <si>
    <t>ITML International Tanker Management Ltd Bermuda</t>
  </si>
  <si>
    <t>V70000095729</t>
  </si>
  <si>
    <t>V70000095730</t>
  </si>
  <si>
    <t>V70000095731</t>
  </si>
  <si>
    <t>V70000095732</t>
  </si>
  <si>
    <t>V70000095733</t>
  </si>
  <si>
    <t>VSERGSM0152</t>
  </si>
  <si>
    <t>VSO V.Ships Services Oceana Inc.</t>
  </si>
  <si>
    <t>V70000095734</t>
  </si>
  <si>
    <t>V70000095735</t>
  </si>
  <si>
    <t>V70000095736</t>
  </si>
  <si>
    <t>V70000095737</t>
  </si>
  <si>
    <t>V70000095738</t>
  </si>
  <si>
    <t>V70000095739</t>
  </si>
  <si>
    <t>V70000095740</t>
  </si>
  <si>
    <t>V70000095741</t>
  </si>
  <si>
    <t>VSERGSM0241</t>
  </si>
  <si>
    <t>CREWING VS CHENNAI</t>
  </si>
  <si>
    <t>V70000095742</t>
  </si>
  <si>
    <t>V70000095743</t>
  </si>
  <si>
    <t>V70000095744</t>
  </si>
  <si>
    <t>V70000095745</t>
  </si>
  <si>
    <t>V70000095749</t>
  </si>
  <si>
    <t>ZEUONE</t>
  </si>
  <si>
    <t>V70000095751</t>
  </si>
  <si>
    <t>TRANSFER TO 1100200</t>
  </si>
  <si>
    <t>V70000095549</t>
  </si>
  <si>
    <t>V70000095564</t>
  </si>
  <si>
    <t>TOPMAR</t>
  </si>
  <si>
    <t>V70000095556</t>
  </si>
  <si>
    <t>CLBAYA</t>
  </si>
  <si>
    <t>V70000095563</t>
  </si>
  <si>
    <t>PARADW</t>
  </si>
  <si>
    <t>V70000095551</t>
  </si>
  <si>
    <t>ANAELA</t>
  </si>
  <si>
    <t>V70000095558</t>
  </si>
  <si>
    <t>DARYAM</t>
  </si>
  <si>
    <t>V70000095561</t>
  </si>
  <si>
    <t>MGFIR</t>
  </si>
  <si>
    <t>V70000095604</t>
  </si>
  <si>
    <t>ALEDRI</t>
  </si>
  <si>
    <t>V70000095605</t>
  </si>
  <si>
    <t>ALISIO</t>
  </si>
  <si>
    <t>V70000095633</t>
  </si>
  <si>
    <t>FAIRWI</t>
  </si>
  <si>
    <t>V70000095636</t>
  </si>
  <si>
    <t>FGEUCA</t>
  </si>
  <si>
    <t>V70000095664</t>
  </si>
  <si>
    <t>pacach</t>
  </si>
  <si>
    <t>V70000095669</t>
  </si>
  <si>
    <t>PACILI</t>
  </si>
  <si>
    <t>V70000095678</t>
  </si>
  <si>
    <t>PROSUC</t>
  </si>
  <si>
    <t>V70000095679</t>
  </si>
  <si>
    <t>QUEDOR</t>
  </si>
  <si>
    <t>V70000095689</t>
  </si>
  <si>
    <t>SINTER</t>
  </si>
  <si>
    <t>V70000095693</t>
  </si>
  <si>
    <t>SONGFA</t>
  </si>
  <si>
    <t>V70000095702</t>
  </si>
  <si>
    <t>TSKEEL</t>
  </si>
  <si>
    <t>V70000095706</t>
  </si>
  <si>
    <t>TSSHAN</t>
  </si>
  <si>
    <t>V70000095313</t>
  </si>
  <si>
    <t>AFRGAS</t>
  </si>
  <si>
    <t>V70000095324</t>
  </si>
  <si>
    <t>ATLMON</t>
  </si>
  <si>
    <t>V70000095352</t>
  </si>
  <si>
    <t>DESA</t>
  </si>
  <si>
    <t>V70000095354</t>
  </si>
  <si>
    <t>EASFAL</t>
  </si>
  <si>
    <t>V70000095362</t>
  </si>
  <si>
    <t>EASPET</t>
  </si>
  <si>
    <t>V70000095364</t>
  </si>
  <si>
    <t>EDEBAY</t>
  </si>
  <si>
    <t>V70000095367</t>
  </si>
  <si>
    <t>FAIRSK</t>
  </si>
  <si>
    <t>V70000095381</t>
  </si>
  <si>
    <t>HOEBRA</t>
  </si>
  <si>
    <t>V70000095394</t>
  </si>
  <si>
    <t>KYBAY</t>
  </si>
  <si>
    <t>V70000095400</t>
  </si>
  <si>
    <t>LINKWO</t>
  </si>
  <si>
    <t>V70000095402</t>
  </si>
  <si>
    <t>MLHERO</t>
  </si>
  <si>
    <t>V70000095409</t>
  </si>
  <si>
    <t>OCEADY</t>
  </si>
  <si>
    <t>V70000095412</t>
  </si>
  <si>
    <t>OCEASS</t>
  </si>
  <si>
    <t>V70000095416</t>
  </si>
  <si>
    <t>OCEOUT</t>
  </si>
  <si>
    <t>V70000095418</t>
  </si>
  <si>
    <t>OCEPRO</t>
  </si>
  <si>
    <t>V70000095421</t>
  </si>
  <si>
    <t>OCESEY</t>
  </si>
  <si>
    <t>V70000095427</t>
  </si>
  <si>
    <t>OEVER</t>
  </si>
  <si>
    <t>V70000095430</t>
  </si>
  <si>
    <t>OSPREY</t>
  </si>
  <si>
    <t>V70000095438</t>
  </si>
  <si>
    <t>PORUNI</t>
  </si>
  <si>
    <t>V70000095439</t>
  </si>
  <si>
    <t>PROBE1</t>
  </si>
  <si>
    <t>V70000095449</t>
  </si>
  <si>
    <t>RESBAY</t>
  </si>
  <si>
    <t>V70000095457</t>
  </si>
  <si>
    <t>samint</t>
  </si>
  <si>
    <t>V70000095458</t>
  </si>
  <si>
    <t>samres</t>
  </si>
  <si>
    <t>V70000095315</t>
  </si>
  <si>
    <t>AMI</t>
  </si>
  <si>
    <t>V70000095318</t>
  </si>
  <si>
    <t>ARJGAD</t>
  </si>
  <si>
    <t>V70000095329</t>
  </si>
  <si>
    <t>BCGLOR</t>
  </si>
  <si>
    <t>V70000095334</t>
  </si>
  <si>
    <t>BRICK</t>
  </si>
  <si>
    <t>V70000095335</t>
  </si>
  <si>
    <t>BULHAL</t>
  </si>
  <si>
    <t>V70000095336</t>
  </si>
  <si>
    <t>BULNUS</t>
  </si>
  <si>
    <t>V70000095337</t>
  </si>
  <si>
    <t>BWLARA</t>
  </si>
  <si>
    <t>V70000095338</t>
  </si>
  <si>
    <t>CALTRA</t>
  </si>
  <si>
    <t>V70000095339</t>
  </si>
  <si>
    <t>CHEHER</t>
  </si>
  <si>
    <t>V70000095341</t>
  </si>
  <si>
    <t>CHPREM</t>
  </si>
  <si>
    <t>V70000095349</t>
  </si>
  <si>
    <t>CTRAD1</t>
  </si>
  <si>
    <t>V70000095357</t>
  </si>
  <si>
    <t>EASIRI</t>
  </si>
  <si>
    <t>V70000095365</t>
  </si>
  <si>
    <t>EMBY</t>
  </si>
  <si>
    <t>V70000095371</t>
  </si>
  <si>
    <t>GEMCON</t>
  </si>
  <si>
    <t>V70000095375</t>
  </si>
  <si>
    <t>HCYGNU</t>
  </si>
  <si>
    <t>V70000095376</t>
  </si>
  <si>
    <t>HERZH1</t>
  </si>
  <si>
    <t>V70000095383</t>
  </si>
  <si>
    <t>INDPRO</t>
  </si>
  <si>
    <t>V70000095395</t>
  </si>
  <si>
    <t>KYRIAY</t>
  </si>
  <si>
    <t>V70000095404</t>
  </si>
  <si>
    <t>MPMRTI</t>
  </si>
  <si>
    <t>V70000095407</t>
  </si>
  <si>
    <t>NILCON</t>
  </si>
  <si>
    <t>V70000095417</t>
  </si>
  <si>
    <t>OCEPLU</t>
  </si>
  <si>
    <t>V70000095422</t>
  </si>
  <si>
    <t>OCETHY</t>
  </si>
  <si>
    <t>V70000095445</t>
  </si>
  <si>
    <t>PROPRO</t>
  </si>
  <si>
    <t>V70000095612</t>
  </si>
  <si>
    <t>ASIAIN</t>
  </si>
  <si>
    <t>V70000095619</t>
  </si>
  <si>
    <t>V70000095620</t>
  </si>
  <si>
    <t>CLGRAC</t>
  </si>
  <si>
    <t>V70000095625</t>
  </si>
  <si>
    <t>EASFRE</t>
  </si>
  <si>
    <t>V70000095626</t>
  </si>
  <si>
    <t>EASHAW</t>
  </si>
  <si>
    <t>V70000095629</t>
  </si>
  <si>
    <t>EASORC</t>
  </si>
  <si>
    <t>V70000095641</t>
  </si>
  <si>
    <t>HMERUR</t>
  </si>
  <si>
    <t>V70000095647</t>
  </si>
  <si>
    <t>KKMARL</t>
  </si>
  <si>
    <t>V70000095651</t>
  </si>
  <si>
    <t>MLSWAL</t>
  </si>
  <si>
    <t>V70000095658</t>
  </si>
  <si>
    <t>OKEAUG</t>
  </si>
  <si>
    <t>V70000095663</t>
  </si>
  <si>
    <t>OTIANC</t>
  </si>
  <si>
    <t>V70000095671</t>
  </si>
  <si>
    <t>PAMP02</t>
  </si>
  <si>
    <t>V70000095685</t>
  </si>
  <si>
    <t>SCALLI</t>
  </si>
  <si>
    <t>V70000095746</t>
  </si>
  <si>
    <t>WAH529</t>
  </si>
  <si>
    <t>V70000095398</t>
  </si>
  <si>
    <t>LIBCON</t>
  </si>
  <si>
    <t>V70000095414</t>
  </si>
  <si>
    <t>OCEHER</t>
  </si>
  <si>
    <t>V70000095424</t>
  </si>
  <si>
    <t>V70000095443</t>
  </si>
  <si>
    <t>V70000095450</t>
  </si>
  <si>
    <t>RESOAY</t>
  </si>
  <si>
    <t>V70000095452</t>
  </si>
  <si>
    <t>SAGUBE</t>
  </si>
  <si>
    <t>V70000095462</t>
  </si>
  <si>
    <t>V70000095463</t>
  </si>
  <si>
    <t>scohon</t>
  </si>
  <si>
    <t>V70000095465</t>
  </si>
  <si>
    <t>SIABAY</t>
  </si>
  <si>
    <t>V70000095469</t>
  </si>
  <si>
    <t>SKYLGT</t>
  </si>
  <si>
    <t>V70000095478</t>
  </si>
  <si>
    <t>TRINT1</t>
  </si>
  <si>
    <t>V70000095481</t>
  </si>
  <si>
    <t>VENBAY</t>
  </si>
  <si>
    <t>V70000095485</t>
  </si>
  <si>
    <t>WIMPOL</t>
  </si>
  <si>
    <t>V70000095520</t>
  </si>
  <si>
    <t>V70000095589</t>
  </si>
  <si>
    <t>V70000095590</t>
  </si>
  <si>
    <t>V70000095594</t>
  </si>
  <si>
    <t>BS41664</t>
  </si>
  <si>
    <t>V70000095595</t>
  </si>
  <si>
    <t>V70000095596</t>
  </si>
  <si>
    <t>BS41670</t>
  </si>
  <si>
    <t>V70000095597</t>
  </si>
  <si>
    <t>V70000095598</t>
  </si>
  <si>
    <t>V70000095754</t>
  </si>
  <si>
    <t>TRANSFER FROM 1100201</t>
  </si>
  <si>
    <t>V70000095760</t>
  </si>
  <si>
    <t>TRANSFER TO 1110400</t>
  </si>
  <si>
    <t>V70000095765</t>
  </si>
  <si>
    <t>TRANSFER FROM 1110402</t>
  </si>
  <si>
    <t>V70000095602</t>
  </si>
  <si>
    <t>V70000095622</t>
  </si>
  <si>
    <t>CLTIFF</t>
  </si>
  <si>
    <t>V70000095638</t>
  </si>
  <si>
    <t>hbras2</t>
  </si>
  <si>
    <t>V70000095644</t>
  </si>
  <si>
    <t>HOESY</t>
  </si>
  <si>
    <t>V70000095653</t>
  </si>
  <si>
    <t>narstr</t>
  </si>
  <si>
    <t>V70000095654</t>
  </si>
  <si>
    <t>OCEETH</t>
  </si>
  <si>
    <t>V70000095656</t>
  </si>
  <si>
    <t>OCETIA</t>
  </si>
  <si>
    <t>V70000095673</t>
  </si>
  <si>
    <t>PROFOR</t>
  </si>
  <si>
    <t>V70000095676</t>
  </si>
  <si>
    <t>PROPEL</t>
  </si>
  <si>
    <t>V70000095680</t>
  </si>
  <si>
    <t>SAHGAS</t>
  </si>
  <si>
    <t>V70000095681</t>
  </si>
  <si>
    <t>SAMCMG</t>
  </si>
  <si>
    <t>V70000095683</t>
  </si>
  <si>
    <t>SAMEDD</t>
  </si>
  <si>
    <t>V70000095684</t>
  </si>
  <si>
    <t>SAPEGA</t>
  </si>
  <si>
    <t>V70000095688</t>
  </si>
  <si>
    <t>SINMAL</t>
  </si>
  <si>
    <t>V70000095695</t>
  </si>
  <si>
    <t>TJZARA</t>
  </si>
  <si>
    <t>V70000095704</t>
  </si>
  <si>
    <t>TSMAWE</t>
  </si>
  <si>
    <t>V70000095748</t>
  </si>
  <si>
    <t>yochow</t>
  </si>
  <si>
    <t>V70000095460</t>
  </si>
  <si>
    <t>SAPRID</t>
  </si>
  <si>
    <t>V70000095553</t>
  </si>
  <si>
    <t>BRASSA</t>
  </si>
  <si>
    <t>V70000095565</t>
  </si>
  <si>
    <t>ZYJUHE</t>
  </si>
  <si>
    <t>V70000095603</t>
  </si>
  <si>
    <t>V70000095611</t>
  </si>
  <si>
    <t>ASIAEV</t>
  </si>
  <si>
    <t>V70000095615</t>
  </si>
  <si>
    <t>V70000095624</t>
  </si>
  <si>
    <t>V70000095631</t>
  </si>
  <si>
    <t>V70000095632</t>
  </si>
  <si>
    <t>V70000095643</t>
  </si>
  <si>
    <t>V70000095650</t>
  </si>
  <si>
    <t>V70000095655</t>
  </si>
  <si>
    <t>V70000095661</t>
  </si>
  <si>
    <t>V70000095694</t>
  </si>
  <si>
    <t>SUDESS</t>
  </si>
  <si>
    <t>V70000095698</t>
  </si>
  <si>
    <t>TSCHBA</t>
  </si>
  <si>
    <t>V70000095750</t>
  </si>
  <si>
    <t>V70000095446</t>
  </si>
  <si>
    <t>PROSHA</t>
  </si>
  <si>
    <t>V70000095550</t>
  </si>
  <si>
    <t>AELEP</t>
  </si>
  <si>
    <t>V70000095554</t>
  </si>
  <si>
    <t>V70000095555</t>
  </si>
  <si>
    <t>V70000095562</t>
  </si>
  <si>
    <t>onealp</t>
  </si>
  <si>
    <t>V70000095312</t>
  </si>
  <si>
    <t>ADAFE</t>
  </si>
  <si>
    <t>V70000095325</t>
  </si>
  <si>
    <t>AUGUS</t>
  </si>
  <si>
    <t>V70000095330</t>
  </si>
  <si>
    <t>BCGRAC</t>
  </si>
  <si>
    <t>V70000095343</t>
  </si>
  <si>
    <t>V70000095348</t>
  </si>
  <si>
    <t>CRESTO</t>
  </si>
  <si>
    <t>V70000095356</t>
  </si>
  <si>
    <t>V70000095360</t>
  </si>
  <si>
    <t>V70000095370</t>
  </si>
  <si>
    <t>GCHIO</t>
  </si>
  <si>
    <t>V70000095392</t>
  </si>
  <si>
    <t>V70000095403</t>
  </si>
  <si>
    <t>V70000095411</t>
  </si>
  <si>
    <t>OCEARO</t>
  </si>
  <si>
    <t>V70000095431</t>
  </si>
  <si>
    <t>V70000095435</t>
  </si>
  <si>
    <t>V70000095436</t>
  </si>
  <si>
    <t>V70000095461</t>
  </si>
  <si>
    <t>V70000095476</t>
  </si>
  <si>
    <t>TEBY</t>
  </si>
  <si>
    <t>V70000095483</t>
  </si>
  <si>
    <t>V70000095484</t>
  </si>
  <si>
    <t>WIGMOR</t>
  </si>
  <si>
    <t>V70000095492</t>
  </si>
  <si>
    <t>yang17</t>
  </si>
  <si>
    <t>V70000095340</t>
  </si>
  <si>
    <t>CHESUN</t>
  </si>
  <si>
    <t>V70000095345</t>
  </si>
  <si>
    <t>V70000095355</t>
  </si>
  <si>
    <t>EASGAR</t>
  </si>
  <si>
    <t>V70000095393</t>
  </si>
  <si>
    <t>KRBORG</t>
  </si>
  <si>
    <t>V70000095415</t>
  </si>
  <si>
    <t>OCEJUP</t>
  </si>
  <si>
    <t>V70000095423</t>
  </si>
  <si>
    <t>V70000095426</t>
  </si>
  <si>
    <t>OCPREM</t>
  </si>
  <si>
    <t>V70000095440</t>
  </si>
  <si>
    <t>V70000095444</t>
  </si>
  <si>
    <t>V70000095448</t>
  </si>
  <si>
    <t>QUENES</t>
  </si>
  <si>
    <t>V70000095453</t>
  </si>
  <si>
    <t>V70000095454</t>
  </si>
  <si>
    <t>V70000095456</t>
  </si>
  <si>
    <t>V70000095459</t>
  </si>
  <si>
    <t>V70000095466</t>
  </si>
  <si>
    <t>V70000095472</t>
  </si>
  <si>
    <t>TAMPAT</t>
  </si>
  <si>
    <t>V70000095479</t>
  </si>
  <si>
    <t>TTANV1</t>
  </si>
  <si>
    <t>V70000095567</t>
  </si>
  <si>
    <t>EUR</t>
  </si>
  <si>
    <t>V70000095306</t>
  </si>
  <si>
    <t>V70000095470</t>
  </si>
  <si>
    <t>V70000095474</t>
  </si>
  <si>
    <t>TAUHON</t>
  </si>
  <si>
    <t>V70000095477</t>
  </si>
  <si>
    <t>TELLU</t>
  </si>
  <si>
    <t>V70000095488</t>
  </si>
  <si>
    <t>xinhan</t>
  </si>
  <si>
    <t>V70000095490</t>
  </si>
  <si>
    <t>YANBRI</t>
  </si>
  <si>
    <t>V70000095606</t>
  </si>
  <si>
    <t>V70000095610</t>
  </si>
  <si>
    <t>ASIAAS</t>
  </si>
  <si>
    <t>V70000095616</t>
  </si>
  <si>
    <t>V70000095617</t>
  </si>
  <si>
    <t>V70000095623</t>
  </si>
  <si>
    <t>EASDAP</t>
  </si>
  <si>
    <t>V70000095637</t>
  </si>
  <si>
    <t>harias</t>
  </si>
  <si>
    <t>V70000095639</t>
  </si>
  <si>
    <t>V70000095640</t>
  </si>
  <si>
    <t>V70000095652</t>
  </si>
  <si>
    <t>V70000095659</t>
  </si>
  <si>
    <t>V70000095667</t>
  </si>
  <si>
    <t>PACGIN</t>
  </si>
  <si>
    <t>V70000095672</t>
  </si>
  <si>
    <t>pinhai</t>
  </si>
  <si>
    <t>V70000095677</t>
  </si>
  <si>
    <t>V70000095687</t>
  </si>
  <si>
    <t>scopho</t>
  </si>
  <si>
    <t>V70000095690</t>
  </si>
  <si>
    <t>SINTID</t>
  </si>
  <si>
    <t>V70000095692</t>
  </si>
  <si>
    <t>SIROCC</t>
  </si>
  <si>
    <t>V70000095699</t>
  </si>
  <si>
    <t>TSCHEN</t>
  </si>
  <si>
    <t>V70000095701</t>
  </si>
  <si>
    <t>TSHATA</t>
  </si>
  <si>
    <t>V70000095705</t>
  </si>
  <si>
    <t>TSMUND</t>
  </si>
  <si>
    <t>V70000095747</t>
  </si>
  <si>
    <t>WISE</t>
  </si>
  <si>
    <t>V70000095464</t>
  </si>
  <si>
    <t>V70000095467</t>
  </si>
  <si>
    <t>V70000095468</t>
  </si>
  <si>
    <t>V70000095486</t>
  </si>
  <si>
    <t>V70000095491</t>
  </si>
  <si>
    <t>YANCRO</t>
  </si>
  <si>
    <t>V70000095566</t>
  </si>
  <si>
    <t>V70000095314</t>
  </si>
  <si>
    <t>V70000095319</t>
  </si>
  <si>
    <t>ASBAY</t>
  </si>
  <si>
    <t>V70000095323</t>
  </si>
  <si>
    <t>ATLGRE</t>
  </si>
  <si>
    <t>V70000095346</t>
  </si>
  <si>
    <t>CLYDE</t>
  </si>
  <si>
    <t>V70000095369</t>
  </si>
  <si>
    <t>FORBAY</t>
  </si>
  <si>
    <t>V70000095374</t>
  </si>
  <si>
    <t>HALBAY</t>
  </si>
  <si>
    <t>V70000095389</t>
  </si>
  <si>
    <t>KIBAZ</t>
  </si>
  <si>
    <t>V70000095390</t>
  </si>
  <si>
    <t>KIBY</t>
  </si>
  <si>
    <t>V70000095391</t>
  </si>
  <si>
    <t>KITBAY</t>
  </si>
  <si>
    <t>V70000095410</t>
  </si>
  <si>
    <t>OCEAOD</t>
  </si>
  <si>
    <t>V70000095428</t>
  </si>
  <si>
    <t>ORIBAY</t>
  </si>
  <si>
    <t>V70000095432</t>
  </si>
  <si>
    <t>V70000095442</t>
  </si>
  <si>
    <t>PROGRA</t>
  </si>
  <si>
    <t>V70000095447</t>
  </si>
  <si>
    <t>V70000095473</t>
  </si>
  <si>
    <t>TAUCON</t>
  </si>
  <si>
    <t>V70000095482</t>
  </si>
  <si>
    <t>VISGAD</t>
  </si>
  <si>
    <t>V70000095489</t>
  </si>
  <si>
    <t>XINHUA</t>
  </si>
  <si>
    <t>V70000095493</t>
  </si>
  <si>
    <t>ZEPHY</t>
  </si>
  <si>
    <t>V70000095311</t>
  </si>
  <si>
    <t>V70000095317</t>
  </si>
  <si>
    <t>ARABEL</t>
  </si>
  <si>
    <t>V70000095322</t>
  </si>
  <si>
    <t>ASLHKG</t>
  </si>
  <si>
    <t>V70000095328</t>
  </si>
  <si>
    <t>BARUGA</t>
  </si>
  <si>
    <t>V70000095333</t>
  </si>
  <si>
    <t>BORA3P</t>
  </si>
  <si>
    <t>V70000095342</t>
  </si>
  <si>
    <t>ckvent</t>
  </si>
  <si>
    <t>V70000095351</t>
  </si>
  <si>
    <t>DEAN</t>
  </si>
  <si>
    <t>V70000095358</t>
  </si>
  <si>
    <t>easmag</t>
  </si>
  <si>
    <t>V70000095366</t>
  </si>
  <si>
    <t>EMEBAY</t>
  </si>
  <si>
    <t>V70000095379</t>
  </si>
  <si>
    <t>HLBY</t>
  </si>
  <si>
    <t>V70000095385</t>
  </si>
  <si>
    <t>JSWROH</t>
  </si>
  <si>
    <t>V70000095399</t>
  </si>
  <si>
    <t>LIBHON</t>
  </si>
  <si>
    <t>V70000095401</t>
  </si>
  <si>
    <t>LYNXNO</t>
  </si>
  <si>
    <t>V70000095406</t>
  </si>
  <si>
    <t>MYKBAY</t>
  </si>
  <si>
    <t>V70000095419</t>
  </si>
  <si>
    <t>OCERAY</t>
  </si>
  <si>
    <t>V70000095429</t>
  </si>
  <si>
    <t>OSGOOD</t>
  </si>
  <si>
    <t>V70000095434</t>
  </si>
  <si>
    <t>pacchr</t>
  </si>
  <si>
    <t>V70000095455</t>
  </si>
  <si>
    <t>samctr</t>
  </si>
  <si>
    <t>V70000095471</t>
  </si>
  <si>
    <t>TACTR1</t>
  </si>
  <si>
    <t>V70000095480</t>
  </si>
  <si>
    <t>TUTANV</t>
  </si>
  <si>
    <t>V70000095320</t>
  </si>
  <si>
    <t>ASHAH</t>
  </si>
  <si>
    <t>V70000095321</t>
  </si>
  <si>
    <t>ASLBAU</t>
  </si>
  <si>
    <t>V70000095326</t>
  </si>
  <si>
    <t>AWAVE</t>
  </si>
  <si>
    <t>V70000095331</t>
  </si>
  <si>
    <t>BEKSEB</t>
  </si>
  <si>
    <t>V70000095332</t>
  </si>
  <si>
    <t>bettpe</t>
  </si>
  <si>
    <t>V70000095350</t>
  </si>
  <si>
    <t>V70000095353</t>
  </si>
  <si>
    <t>dorcou</t>
  </si>
  <si>
    <t>V70000095363</t>
  </si>
  <si>
    <t>EASTKA</t>
  </si>
  <si>
    <t>V70000095368</t>
  </si>
  <si>
    <t>FAWIND</t>
  </si>
  <si>
    <t>V70000095377</t>
  </si>
  <si>
    <t>HERZHO</t>
  </si>
  <si>
    <t>V70000095382</t>
  </si>
  <si>
    <t>HOESYD</t>
  </si>
  <si>
    <t>V70000095397</t>
  </si>
  <si>
    <t>LEVAN1</t>
  </si>
  <si>
    <t>V70000095405</t>
  </si>
  <si>
    <t>MYBAY</t>
  </si>
  <si>
    <t>V70000095408</t>
  </si>
  <si>
    <t>OBLUE</t>
  </si>
  <si>
    <t>V70000095413</t>
  </si>
  <si>
    <t>OCEEEL</t>
  </si>
  <si>
    <t>V70000095420</t>
  </si>
  <si>
    <t>OCESAC</t>
  </si>
  <si>
    <t>V70000095425</t>
  </si>
  <si>
    <t>OCPC</t>
  </si>
  <si>
    <t>V70000095433</t>
  </si>
  <si>
    <t>pacadh</t>
  </si>
  <si>
    <t>V70000095437</t>
  </si>
  <si>
    <t>PORCAP</t>
  </si>
  <si>
    <t>V70000095441</t>
  </si>
  <si>
    <t>PROGLO</t>
  </si>
  <si>
    <t>V70000095451</t>
  </si>
  <si>
    <t>REUBAY</t>
  </si>
  <si>
    <t>V70000095487</t>
  </si>
  <si>
    <t>XIHONG</t>
  </si>
  <si>
    <t>V70000095609</t>
  </si>
  <si>
    <t>V70000095613</t>
  </si>
  <si>
    <t>V70000095614</t>
  </si>
  <si>
    <t>V70000095627</t>
  </si>
  <si>
    <t>V70000095660</t>
  </si>
  <si>
    <t>V70000095666</t>
  </si>
  <si>
    <t>V70000095682</t>
  </si>
  <si>
    <t>V70000095696</t>
  </si>
  <si>
    <t>V70000095700</t>
  </si>
  <si>
    <t>TSCOLO</t>
  </si>
  <si>
    <t>V70000095707</t>
  </si>
  <si>
    <t>TSTAMA</t>
  </si>
  <si>
    <t>V70000095475</t>
  </si>
  <si>
    <t>TEABAY</t>
  </si>
  <si>
    <t>V70000095522</t>
  </si>
  <si>
    <t>BS36600</t>
  </si>
  <si>
    <t>V70000095601</t>
  </si>
  <si>
    <t>.</t>
  </si>
  <si>
    <t>V70000095607</t>
  </si>
  <si>
    <t>V70000095634</t>
  </si>
  <si>
    <t>FAISKI</t>
  </si>
  <si>
    <t>V70000095635</t>
  </si>
  <si>
    <t>V70000095645</t>
  </si>
  <si>
    <t>V70000095648</t>
  </si>
  <si>
    <t>V70000095649</t>
  </si>
  <si>
    <t>V70000095665</t>
  </si>
  <si>
    <t>V70000095670</t>
  </si>
  <si>
    <t>PACVIO</t>
  </si>
  <si>
    <t>V70000095674</t>
  </si>
  <si>
    <t>V70000095703</t>
  </si>
  <si>
    <t>TSLIAN</t>
  </si>
  <si>
    <t>V70000095708</t>
  </si>
  <si>
    <t>TSVANC</t>
  </si>
  <si>
    <t>V70000095304</t>
  </si>
  <si>
    <t>V70000095305</t>
  </si>
  <si>
    <t>Row Labels</t>
  </si>
  <si>
    <t>(blank)</t>
  </si>
  <si>
    <t>Grand Total</t>
  </si>
  <si>
    <t>Sum of Amount (Original)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</si>
</sst>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5F53FDF-64E7-4C53-BFD9-5F050DF19C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dhya\Downloads\Opening_balance_v2.1.xlsx" TargetMode="External"/><Relationship Id="rId1" Type="http://schemas.openxmlformats.org/officeDocument/2006/relationships/externalLinkPath" Target="Opening_balance_v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account</v>
          </cell>
        </row>
        <row r="3">
          <cell r="A3">
            <v>1100100</v>
          </cell>
        </row>
        <row r="4">
          <cell r="A4">
            <v>1110100</v>
          </cell>
        </row>
        <row r="5">
          <cell r="A5">
            <v>1110102</v>
          </cell>
        </row>
        <row r="6">
          <cell r="A6">
            <v>1100200</v>
          </cell>
        </row>
        <row r="7">
          <cell r="A7">
            <v>1100201</v>
          </cell>
        </row>
        <row r="8">
          <cell r="A8">
            <v>1110200</v>
          </cell>
        </row>
        <row r="9">
          <cell r="A9">
            <v>1110202</v>
          </cell>
        </row>
        <row r="10">
          <cell r="A10">
            <v>1100300</v>
          </cell>
        </row>
        <row r="11">
          <cell r="A11">
            <v>1100301</v>
          </cell>
        </row>
        <row r="12">
          <cell r="A12">
            <v>1110300</v>
          </cell>
        </row>
        <row r="13">
          <cell r="A13">
            <v>1110302</v>
          </cell>
        </row>
        <row r="14">
          <cell r="A14">
            <v>1100400</v>
          </cell>
        </row>
        <row r="15">
          <cell r="A15">
            <v>1110400</v>
          </cell>
        </row>
        <row r="16">
          <cell r="A16">
            <v>1110402</v>
          </cell>
        </row>
        <row r="17">
          <cell r="A17">
            <v>1100600</v>
          </cell>
        </row>
        <row r="18">
          <cell r="A18">
            <v>1100601</v>
          </cell>
        </row>
        <row r="19">
          <cell r="A19">
            <v>1110600</v>
          </cell>
        </row>
        <row r="20">
          <cell r="A20">
            <v>1110602</v>
          </cell>
        </row>
        <row r="21">
          <cell r="A21">
            <v>1125201</v>
          </cell>
        </row>
        <row r="22">
          <cell r="A22">
            <v>1125100</v>
          </cell>
        </row>
        <row r="23">
          <cell r="A23">
            <v>1125101</v>
          </cell>
        </row>
        <row r="24">
          <cell r="A24">
            <v>1125102</v>
          </cell>
        </row>
        <row r="25">
          <cell r="A25">
            <v>1225202</v>
          </cell>
        </row>
        <row r="26">
          <cell r="A26">
            <v>1225100</v>
          </cell>
        </row>
        <row r="27">
          <cell r="A27">
            <v>1225102</v>
          </cell>
        </row>
        <row r="28">
          <cell r="A28">
            <v>1100700</v>
          </cell>
        </row>
        <row r="29">
          <cell r="A29">
            <v>1110700</v>
          </cell>
        </row>
        <row r="30">
          <cell r="A30">
            <v>1130000</v>
          </cell>
        </row>
        <row r="31">
          <cell r="A31">
            <v>1131020</v>
          </cell>
        </row>
        <row r="32">
          <cell r="A32">
            <v>1200000</v>
          </cell>
        </row>
        <row r="33">
          <cell r="A33">
            <v>3121400</v>
          </cell>
        </row>
        <row r="34">
          <cell r="A34">
            <v>3121401</v>
          </cell>
        </row>
        <row r="35">
          <cell r="A35">
            <v>1243803</v>
          </cell>
        </row>
        <row r="36">
          <cell r="A36">
            <v>1243809</v>
          </cell>
        </row>
        <row r="37">
          <cell r="A37">
            <v>1243810</v>
          </cell>
        </row>
        <row r="38">
          <cell r="A38">
            <v>1243816</v>
          </cell>
        </row>
        <row r="39">
          <cell r="A39">
            <v>1244130</v>
          </cell>
        </row>
        <row r="40">
          <cell r="A40">
            <v>1240000</v>
          </cell>
        </row>
        <row r="41">
          <cell r="A41">
            <v>1240001</v>
          </cell>
        </row>
        <row r="42">
          <cell r="A42">
            <v>1242102</v>
          </cell>
        </row>
        <row r="43">
          <cell r="A43">
            <v>1243000</v>
          </cell>
        </row>
        <row r="44">
          <cell r="A44">
            <v>1210000</v>
          </cell>
        </row>
        <row r="45">
          <cell r="A45">
            <v>3203010</v>
          </cell>
        </row>
        <row r="46">
          <cell r="A46">
            <v>3203015</v>
          </cell>
        </row>
        <row r="47">
          <cell r="A47">
            <v>3203040</v>
          </cell>
        </row>
        <row r="48">
          <cell r="A48">
            <v>3203070</v>
          </cell>
        </row>
        <row r="49">
          <cell r="A49">
            <v>3203075</v>
          </cell>
        </row>
        <row r="50">
          <cell r="A50">
            <v>3203080</v>
          </cell>
        </row>
        <row r="51">
          <cell r="A51">
            <v>1213202</v>
          </cell>
        </row>
        <row r="52">
          <cell r="A52">
            <v>1213204</v>
          </cell>
        </row>
        <row r="53">
          <cell r="A53">
            <v>1215002</v>
          </cell>
        </row>
        <row r="54">
          <cell r="A54">
            <v>1210100</v>
          </cell>
        </row>
        <row r="55">
          <cell r="A55">
            <v>1211015</v>
          </cell>
        </row>
        <row r="56">
          <cell r="A56">
            <v>1211019</v>
          </cell>
        </row>
        <row r="57">
          <cell r="A57">
            <v>3122200</v>
          </cell>
        </row>
        <row r="58">
          <cell r="A58">
            <v>1244230</v>
          </cell>
        </row>
        <row r="59">
          <cell r="A59">
            <v>1244242</v>
          </cell>
        </row>
        <row r="60">
          <cell r="A60">
            <v>3123701</v>
          </cell>
        </row>
        <row r="61">
          <cell r="A61">
            <v>3123706</v>
          </cell>
        </row>
        <row r="62">
          <cell r="A62">
            <v>3123999</v>
          </cell>
        </row>
        <row r="63">
          <cell r="A63">
            <v>3101000</v>
          </cell>
        </row>
        <row r="64">
          <cell r="A64">
            <v>3121107</v>
          </cell>
        </row>
        <row r="65">
          <cell r="A65">
            <v>3103000</v>
          </cell>
        </row>
        <row r="66">
          <cell r="A66">
            <v>1214202</v>
          </cell>
        </row>
        <row r="67">
          <cell r="A67">
            <v>1214204</v>
          </cell>
        </row>
        <row r="68">
          <cell r="A68">
            <v>3065047</v>
          </cell>
        </row>
        <row r="69">
          <cell r="A69">
            <v>3302000</v>
          </cell>
        </row>
        <row r="70">
          <cell r="A70">
            <v>3209000</v>
          </cell>
        </row>
        <row r="71">
          <cell r="A71">
            <v>3209002</v>
          </cell>
        </row>
        <row r="72">
          <cell r="A72">
            <v>3209500</v>
          </cell>
        </row>
        <row r="73">
          <cell r="A73">
            <v>4000000</v>
          </cell>
        </row>
        <row r="74">
          <cell r="A74">
            <v>4000010</v>
          </cell>
        </row>
        <row r="75">
          <cell r="A75">
            <v>4000020</v>
          </cell>
        </row>
        <row r="76">
          <cell r="A76">
            <v>4000150</v>
          </cell>
        </row>
        <row r="77">
          <cell r="A77">
            <v>4100100</v>
          </cell>
        </row>
        <row r="78">
          <cell r="A78">
            <v>4100200</v>
          </cell>
        </row>
        <row r="79">
          <cell r="A79">
            <v>4800204</v>
          </cell>
        </row>
        <row r="80">
          <cell r="A80">
            <v>4800205</v>
          </cell>
        </row>
        <row r="81">
          <cell r="A81">
            <v>4800206</v>
          </cell>
        </row>
        <row r="82">
          <cell r="A82">
            <v>4800207</v>
          </cell>
        </row>
        <row r="83">
          <cell r="A83">
            <v>4000600</v>
          </cell>
        </row>
        <row r="84">
          <cell r="A84">
            <v>4000613</v>
          </cell>
        </row>
        <row r="85">
          <cell r="A85">
            <v>4000615</v>
          </cell>
        </row>
        <row r="86">
          <cell r="A86">
            <v>4900900</v>
          </cell>
        </row>
        <row r="87">
          <cell r="A87">
            <v>4100000</v>
          </cell>
        </row>
        <row r="88">
          <cell r="A88">
            <v>7061100</v>
          </cell>
        </row>
        <row r="89">
          <cell r="A89">
            <v>7061160</v>
          </cell>
        </row>
        <row r="90">
          <cell r="A90">
            <v>7062017</v>
          </cell>
        </row>
        <row r="91">
          <cell r="A91">
            <v>7022029</v>
          </cell>
        </row>
        <row r="92">
          <cell r="A92">
            <v>7440050</v>
          </cell>
        </row>
        <row r="93">
          <cell r="A93">
            <v>7440210</v>
          </cell>
        </row>
        <row r="94">
          <cell r="A94">
            <v>4000601</v>
          </cell>
        </row>
        <row r="95">
          <cell r="A95">
            <v>4000800</v>
          </cell>
        </row>
        <row r="96">
          <cell r="A96">
            <v>5010100</v>
          </cell>
        </row>
        <row r="97">
          <cell r="A97">
            <v>5010110</v>
          </cell>
        </row>
        <row r="98">
          <cell r="A98">
            <v>5101300</v>
          </cell>
        </row>
        <row r="99">
          <cell r="A99">
            <v>5010400</v>
          </cell>
        </row>
        <row r="100">
          <cell r="A100">
            <v>5020440</v>
          </cell>
        </row>
        <row r="101">
          <cell r="A101">
            <v>5020400</v>
          </cell>
        </row>
        <row r="102">
          <cell r="A102">
            <v>5100100</v>
          </cell>
        </row>
        <row r="103">
          <cell r="A103">
            <v>5100200</v>
          </cell>
        </row>
        <row r="104">
          <cell r="A104">
            <v>5100300</v>
          </cell>
        </row>
        <row r="105">
          <cell r="A105">
            <v>5100400</v>
          </cell>
        </row>
        <row r="106">
          <cell r="A106">
            <v>5100500</v>
          </cell>
        </row>
        <row r="107">
          <cell r="A107">
            <v>5100600</v>
          </cell>
        </row>
        <row r="108">
          <cell r="A108">
            <v>5200000</v>
          </cell>
        </row>
        <row r="109">
          <cell r="A109">
            <v>5200200</v>
          </cell>
        </row>
        <row r="110">
          <cell r="A110">
            <v>5210100</v>
          </cell>
        </row>
        <row r="111">
          <cell r="A111">
            <v>5300000</v>
          </cell>
        </row>
        <row r="112">
          <cell r="A112">
            <v>5300350</v>
          </cell>
        </row>
        <row r="113">
          <cell r="A113">
            <v>5300100</v>
          </cell>
        </row>
        <row r="114">
          <cell r="A114">
            <v>5300300</v>
          </cell>
        </row>
        <row r="115">
          <cell r="A115">
            <v>5310000</v>
          </cell>
        </row>
        <row r="116">
          <cell r="A116">
            <v>5310100</v>
          </cell>
        </row>
        <row r="117">
          <cell r="A117">
            <v>5320000</v>
          </cell>
        </row>
        <row r="118">
          <cell r="A118">
            <v>5320100</v>
          </cell>
        </row>
        <row r="119">
          <cell r="A119">
            <v>5320200</v>
          </cell>
        </row>
        <row r="120">
          <cell r="A120">
            <v>5330050</v>
          </cell>
        </row>
        <row r="121">
          <cell r="A121">
            <v>5330100</v>
          </cell>
        </row>
        <row r="122">
          <cell r="A122">
            <v>5340000</v>
          </cell>
        </row>
        <row r="123">
          <cell r="A123">
            <v>5341000</v>
          </cell>
        </row>
        <row r="124">
          <cell r="A124">
            <v>5343000</v>
          </cell>
        </row>
        <row r="125">
          <cell r="A125">
            <v>5344000</v>
          </cell>
        </row>
        <row r="126">
          <cell r="A126">
            <v>5345000</v>
          </cell>
        </row>
        <row r="127">
          <cell r="A127">
            <v>5346000</v>
          </cell>
        </row>
        <row r="128">
          <cell r="A128">
            <v>5348000</v>
          </cell>
        </row>
        <row r="129">
          <cell r="A129">
            <v>5349500</v>
          </cell>
        </row>
        <row r="130">
          <cell r="A130">
            <v>5810000</v>
          </cell>
        </row>
        <row r="131">
          <cell r="A131">
            <v>5810200</v>
          </cell>
        </row>
        <row r="132">
          <cell r="A132">
            <v>5810100</v>
          </cell>
        </row>
        <row r="133">
          <cell r="A133">
            <v>5810300</v>
          </cell>
        </row>
        <row r="134">
          <cell r="A134">
            <v>5820100</v>
          </cell>
        </row>
        <row r="135">
          <cell r="A135">
            <v>5820200</v>
          </cell>
        </row>
        <row r="136">
          <cell r="A136">
            <v>5830100</v>
          </cell>
        </row>
        <row r="137">
          <cell r="A137">
            <v>5400000</v>
          </cell>
        </row>
        <row r="138">
          <cell r="A138">
            <v>5400500</v>
          </cell>
        </row>
        <row r="139">
          <cell r="A139">
            <v>5810250</v>
          </cell>
        </row>
        <row r="140">
          <cell r="A140">
            <v>4900350</v>
          </cell>
        </row>
        <row r="141">
          <cell r="A141">
            <v>4900360</v>
          </cell>
        </row>
        <row r="142">
          <cell r="A142">
            <v>4900370</v>
          </cell>
        </row>
        <row r="143">
          <cell r="A143">
            <v>4900374</v>
          </cell>
        </row>
        <row r="144">
          <cell r="A144">
            <v>4900375</v>
          </cell>
        </row>
        <row r="145">
          <cell r="A145">
            <v>4900300</v>
          </cell>
        </row>
        <row r="146">
          <cell r="A146">
            <v>4900310</v>
          </cell>
        </row>
        <row r="147">
          <cell r="A147">
            <v>4900320</v>
          </cell>
        </row>
        <row r="148">
          <cell r="A148">
            <v>4900324</v>
          </cell>
        </row>
        <row r="149">
          <cell r="A149">
            <v>5920000</v>
          </cell>
        </row>
        <row r="150">
          <cell r="A150">
            <v>5920100</v>
          </cell>
        </row>
        <row r="151">
          <cell r="A151">
            <v>5920105</v>
          </cell>
        </row>
        <row r="152">
          <cell r="A152">
            <v>5940000</v>
          </cell>
        </row>
        <row r="153">
          <cell r="A153">
            <v>5951000</v>
          </cell>
        </row>
        <row r="154">
          <cell r="A154">
            <v>5962040</v>
          </cell>
        </row>
        <row r="155">
          <cell r="A155">
            <v>4900450</v>
          </cell>
        </row>
        <row r="156">
          <cell r="A156">
            <v>4900461</v>
          </cell>
        </row>
        <row r="157">
          <cell r="A157">
            <v>4900462</v>
          </cell>
        </row>
        <row r="158">
          <cell r="A158">
            <v>4900471</v>
          </cell>
        </row>
        <row r="159">
          <cell r="A159">
            <v>4900472</v>
          </cell>
        </row>
        <row r="160">
          <cell r="A160">
            <v>5900000</v>
          </cell>
        </row>
        <row r="161">
          <cell r="A161">
            <v>5900100</v>
          </cell>
        </row>
        <row r="162">
          <cell r="A162">
            <v>5900200</v>
          </cell>
        </row>
        <row r="163">
          <cell r="A163">
            <v>5900300</v>
          </cell>
        </row>
        <row r="164">
          <cell r="A164">
            <v>5900500</v>
          </cell>
        </row>
        <row r="165">
          <cell r="A165">
            <v>5900920</v>
          </cell>
        </row>
        <row r="166">
          <cell r="A166">
            <v>5900910</v>
          </cell>
        </row>
        <row r="167">
          <cell r="A167">
            <v>5952001</v>
          </cell>
        </row>
        <row r="168">
          <cell r="A168">
            <v>5952312</v>
          </cell>
        </row>
        <row r="169">
          <cell r="A169">
            <v>5952313</v>
          </cell>
        </row>
        <row r="170">
          <cell r="A170">
            <v>5952950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" refreshedDate="46000.765080092591" createdVersion="8" refreshedVersion="8" minRefreshableVersion="3" recordCount="531" xr:uid="{B622AB72-45F8-4DA1-9DA5-97C2D993D984}">
  <cacheSource type="worksheet">
    <worksheetSource ref="A1:X1048576" sheet="Sheet1"/>
  </cacheSource>
  <cacheFields count="24">
    <cacheField name="TransactionId" numFmtId="0">
      <sharedItems containsBlank="1"/>
    </cacheField>
    <cacheField name="Voucher" numFmtId="0">
      <sharedItems containsBlank="1"/>
    </cacheField>
    <cacheField name="Check" numFmtId="0">
      <sharedItems containsBlank="1"/>
    </cacheField>
    <cacheField name="Amount (Original)" numFmtId="0">
      <sharedItems containsString="0" containsBlank="1" containsNumber="1" minValue="-78764968.719999999" maxValue="68142224"/>
    </cacheField>
    <cacheField name="Amount (Base USD)" numFmtId="0">
      <sharedItems containsString="0" containsBlank="1" containsNumber="1" minValue="-59265653.140000001" maxValue="50170979.799999997"/>
    </cacheField>
    <cacheField name="Amount (Base)" numFmtId="0">
      <sharedItems containsString="0" containsBlank="1" containsNumber="1" minValue="-78764968.719999999" maxValue="68142224"/>
    </cacheField>
    <cacheField name="Currency (Original)" numFmtId="0">
      <sharedItems containsBlank="1"/>
    </cacheField>
    <cacheField name="Account Code" numFmtId="0">
      <sharedItems containsString="0" containsBlank="1" containsNumber="1" containsInteger="1" minValue="1100100" maxValue="3302000" count="68">
        <n v="1100300"/>
        <n v="1110100"/>
        <n v="1110600"/>
        <n v="3121401"/>
        <n v="3122200"/>
        <n v="1100700"/>
        <n v="1110102"/>
        <n v="1214204"/>
        <n v="1242102"/>
        <n v="1243816"/>
        <n v="1110200"/>
        <n v="1211015"/>
        <n v="1211019"/>
        <n v="1213202"/>
        <n v="1225102"/>
        <n v="1240001"/>
        <n v="3121400"/>
        <n v="3123999"/>
        <n v="3203070"/>
        <n v="3203040"/>
        <n v="1100600"/>
        <n v="1214202"/>
        <n v="1243000"/>
        <n v="1244242"/>
        <n v="3121107"/>
        <n v="1100201"/>
        <n v="1213204"/>
        <n v="1215002"/>
        <n v="1225100"/>
        <n v="1225202"/>
        <n v="3101000"/>
        <n v="3103000"/>
        <n v="1100200"/>
        <n v="1110400"/>
        <n v="1110402"/>
        <n v="1110700"/>
        <n v="1125100"/>
        <n v="1125102"/>
        <n v="1200000"/>
        <n v="1210000"/>
        <n v="3203010"/>
        <n v="3302000"/>
        <n v="1100100"/>
        <n v="1100301"/>
        <n v="1110300"/>
        <n v="1110302"/>
        <n v="1125201"/>
        <n v="1130000"/>
        <n v="1131020"/>
        <n v="3123701"/>
        <n v="3209000"/>
        <n v="1100400"/>
        <n v="1100601"/>
        <n v="1110202"/>
        <n v="1110602"/>
        <n v="1125101"/>
        <n v="1210100"/>
        <n v="1243803"/>
        <n v="1244130"/>
        <n v="1240000"/>
        <n v="1243810"/>
        <n v="1244230"/>
        <n v="3203075"/>
        <n v="3209002"/>
        <n v="3209500"/>
        <n v="3123706"/>
        <n v="3065047"/>
        <m/>
      </sharedItems>
    </cacheField>
    <cacheField name="HFM Account" numFmtId="0">
      <sharedItems containsBlank="1"/>
    </cacheField>
    <cacheField name="Journal Type" numFmtId="0">
      <sharedItems containsBlank="1"/>
    </cacheField>
    <cacheField name="Journal Desc" numFmtId="0">
      <sharedItems containsBlank="1"/>
    </cacheField>
    <cacheField name="Customer or Supplier" numFmtId="0">
      <sharedItems containsNonDate="0" containsString="0" containsBlank="1"/>
    </cacheField>
    <cacheField name="Transaction Date" numFmtId="0">
      <sharedItems containsNonDate="0" containsDate="1" containsString="0" containsBlank="1" minDate="2025-01-01T00:00:00" maxDate="2025-01-02T00:00:00"/>
    </cacheField>
    <cacheField name="Transaction Entered By" numFmtId="0">
      <sharedItems containsNonDate="0" containsString="0" containsBlank="1"/>
    </cacheField>
    <cacheField name="Transaction Entered Date" numFmtId="0">
      <sharedItems containsNonDate="0" containsDate="1" containsString="0" containsBlank="1" minDate="1899-12-30T00:43:57" maxDate="1899-12-30T00:43:57"/>
    </cacheField>
    <cacheField name="Transaction Updated By" numFmtId="0">
      <sharedItems containsBlank="1"/>
    </cacheField>
    <cacheField name="Transaction Updated Date" numFmtId="0">
      <sharedItems containsNonDate="0" containsDate="1" containsString="0" containsBlank="1" minDate="1899-12-30T00:43:57" maxDate="1899-12-30T00:44:01"/>
    </cacheField>
    <cacheField name="COY_ID" numFmtId="0">
      <sharedItems containsBlank="1"/>
    </cacheField>
    <cacheField name="Entity Name" numFmtId="0">
      <sharedItems containsBlank="1"/>
    </cacheField>
    <cacheField name="Vessel AUX" numFmtId="0">
      <sharedItems containsBlank="1" containsMixedTypes="1" containsNumber="1" containsInteger="1" minValue="6224" maxValue="6224"/>
    </cacheField>
    <cacheField name="Reference" numFmtId="0">
      <sharedItems containsNonDate="0" containsString="0" containsBlank="1"/>
    </cacheField>
    <cacheField name="Updated in ODP" numFmtId="0">
      <sharedItems containsNonDate="0" containsDate="1" containsString="0" containsBlank="1" minDate="1899-12-30T00:44:11" maxDate="1899-12-30T00:59:19"/>
    </cacheField>
    <cacheField name="Transaction Open" numFmtId="0">
      <sharedItems containsBlank="1"/>
    </cacheField>
    <cacheField name="Transaction Tex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1">
  <r>
    <s v="V70000095240"/>
    <s v="BRTFWD"/>
    <s v="Y"/>
    <n v="1527689.02"/>
    <n v="1211563.2"/>
    <n v="1527689.02"/>
    <s v="SGD"/>
    <x v="0"/>
    <s v="BS1014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46"/>
    <s v="BRTFWD"/>
    <s v="Y"/>
    <n v="-348386.86"/>
    <n v="-255755.71"/>
    <n v="-348386.86"/>
    <s v="SGD"/>
    <x v="1"/>
    <s v="BS10522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54"/>
    <s v="BRTFWD"/>
    <s v="Y"/>
    <n v="-1532836.01"/>
    <n v="-1173484.49"/>
    <n v="-1532836.01"/>
    <s v="SGD"/>
    <x v="2"/>
    <s v="BS1056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47"/>
    <s v="BRTFWD"/>
    <s v="Y"/>
    <n v="-0.42"/>
    <n v="-0.31"/>
    <n v="-0.42"/>
    <s v="USD"/>
    <x v="3"/>
    <s v="BS20102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48"/>
    <s v="BRTFWD"/>
    <s v="Y"/>
    <n v="-0.18"/>
    <n v="2017.15"/>
    <n v="-0.18"/>
    <s v="SGD"/>
    <x v="4"/>
    <s v="BS322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755"/>
    <s v="OBTFER"/>
    <s v="Y"/>
    <n v="37000"/>
    <n v="27537.96"/>
    <n v="37000"/>
    <s v="SGD"/>
    <x v="0"/>
    <s v="BS10140"/>
    <s v="OJ"/>
    <s v="Opening Balance Transfer"/>
    <m/>
    <d v="2025-01-01T00:00:00"/>
    <m/>
    <d v="1899-12-30T00:43:57"/>
    <s v="Mini Nair"/>
    <d v="1899-12-30T00:43:57"/>
    <m/>
    <m/>
    <m/>
    <m/>
    <d v="1899-12-30T00:59:19"/>
    <s v="Yes"/>
    <s v="TRANSFER FROM 1100301"/>
  </r>
  <r>
    <s v="V70000095762"/>
    <s v="OBTFER"/>
    <s v="Y"/>
    <n v="-174193.56"/>
    <n v="-130567.29"/>
    <n v="-174193.56"/>
    <s v="SGD"/>
    <x v="1"/>
    <s v="BS10522"/>
    <s v="OJ"/>
    <s v="Opening Balance Transfer"/>
    <m/>
    <d v="2025-01-01T00:00:00"/>
    <m/>
    <d v="1899-12-30T00:43:57"/>
    <s v="Mini Nair"/>
    <d v="1899-12-30T00:43:57"/>
    <m/>
    <m/>
    <m/>
    <m/>
    <d v="1899-12-30T00:44:11"/>
    <s v="Yes"/>
    <s v="TRANSFER FROM 1110102"/>
  </r>
  <r>
    <s v="V70000095766"/>
    <s v="OBTFER"/>
    <s v="Y"/>
    <n v="-80365.55"/>
    <n v="-60255.34"/>
    <n v="-80365.55"/>
    <s v="SGD"/>
    <x v="2"/>
    <s v="BS10560"/>
    <s v="OJ"/>
    <s v="Opening Balance Transfer"/>
    <m/>
    <d v="2025-01-01T00:00:00"/>
    <m/>
    <d v="1899-12-30T00:43:57"/>
    <s v="Mini Nair"/>
    <d v="1899-12-30T00:43:57"/>
    <m/>
    <m/>
    <m/>
    <m/>
    <d v="1899-12-30T00:44:11"/>
    <s v="Yes"/>
    <s v="TRANSFER FROM 1110602"/>
  </r>
  <r>
    <s v="V70000095245"/>
    <s v="BRTFWD"/>
    <s v="Y"/>
    <n v="332054.42"/>
    <n v="295117.40000000002"/>
    <n v="332054.42"/>
    <s v="SGD"/>
    <x v="5"/>
    <s v="BS1111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47"/>
    <s v="BRTFWD"/>
    <s v="Y"/>
    <n v="-174193.56"/>
    <n v="-130567.29"/>
    <n v="-174193.56"/>
    <s v="SGD"/>
    <x v="6"/>
    <s v="BS10522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94"/>
    <s v="BRTFWD"/>
    <s v="Y"/>
    <n v="-2261318.7799999998"/>
    <n v="-2531871.86"/>
    <n v="-2261318.7799999998"/>
    <s v="SGD"/>
    <x v="7"/>
    <s v="BS365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308"/>
    <s v="BRTFWD"/>
    <s v="Y"/>
    <n v="35933.51"/>
    <n v="61374.48"/>
    <n v="35933.51"/>
    <s v="SGD"/>
    <x v="8"/>
    <s v="BS2532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494"/>
    <s v="BRTFWD"/>
    <s v="Y"/>
    <n v="12502.69"/>
    <n v="9820.89"/>
    <n v="12502.69"/>
    <s v="SGD"/>
    <x v="9"/>
    <s v="BS219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495"/>
    <s v="BRTFWD"/>
    <s v="Y"/>
    <n v="0.02"/>
    <n v="-463.21"/>
    <n v="0.02"/>
    <s v="SGD"/>
    <x v="9"/>
    <s v="BS21900"/>
    <s v="OB"/>
    <s v="Opening Balance"/>
    <m/>
    <d v="2025-01-01T00:00:00"/>
    <m/>
    <d v="1899-12-30T00:43:57"/>
    <s v="Mini Nair"/>
    <d v="1899-12-30T00:43:57"/>
    <s v="VCORGSE0060"/>
    <s v="VVA - Vouvray Acquisition Ltd"/>
    <m/>
    <m/>
    <d v="1899-12-30T00:44:11"/>
    <s v="Yes"/>
    <s v="Opening Balance"/>
  </r>
  <r>
    <s v="V70000095496"/>
    <s v="BRTFWD"/>
    <s v="Y"/>
    <n v="-0.01"/>
    <n v="-1106.6500000000001"/>
    <n v="-0.01"/>
    <s v="SGD"/>
    <x v="9"/>
    <s v="BS21900"/>
    <s v="OB"/>
    <s v="Opening Balance"/>
    <m/>
    <d v="2025-01-01T00:00:00"/>
    <m/>
    <d v="1899-12-30T00:43:57"/>
    <s v="Mini Nair"/>
    <d v="1899-12-30T00:43:57"/>
    <s v="VCREGSM0034"/>
    <s v="IMT Inter. Maritime Technical Services"/>
    <m/>
    <m/>
    <d v="1899-12-30T00:44:11"/>
    <s v="Yes"/>
    <s v="Opening Balance"/>
  </r>
  <r>
    <s v="V70000095497"/>
    <s v="BRTFWD"/>
    <s v="Y"/>
    <n v="0.01"/>
    <n v="30.3"/>
    <n v="0.01"/>
    <s v="SGD"/>
    <x v="9"/>
    <s v="BS21900"/>
    <s v="OB"/>
    <s v="Opening Balance"/>
    <m/>
    <d v="2025-01-01T00:00:00"/>
    <m/>
    <d v="1899-12-30T00:43:57"/>
    <s v="Mini Nair"/>
    <d v="1899-12-30T00:43:57"/>
    <s v="VCREGSM0041"/>
    <s v="VGP - V.Group Manpower Services"/>
    <m/>
    <m/>
    <d v="1899-12-30T00:44:11"/>
    <s v="Yes"/>
    <s v="Opening Balance"/>
  </r>
  <r>
    <s v="V70000095498"/>
    <s v="BRTFWD"/>
    <s v="Y"/>
    <n v="0.01"/>
    <n v="26.6"/>
    <n v="0.01"/>
    <s v="SGD"/>
    <x v="9"/>
    <s v="BS21900"/>
    <s v="OB"/>
    <s v="Opening Balance"/>
    <m/>
    <d v="2025-01-01T00:00:00"/>
    <m/>
    <d v="1899-12-30T00:43:57"/>
    <s v="Mini Nair"/>
    <d v="1899-12-30T00:43:57"/>
    <s v="VCREGSM0265"/>
    <s v="CSL V.Crew (Shanghai) Limited"/>
    <m/>
    <m/>
    <d v="1899-12-30T00:44:11"/>
    <s v="Yes"/>
    <s v="Opening Balance"/>
  </r>
  <r>
    <s v="V70000095499"/>
    <s v="BRTFWD"/>
    <s v="Y"/>
    <n v="-0.01"/>
    <n v="-203"/>
    <n v="-0.01"/>
    <s v="SGD"/>
    <x v="9"/>
    <s v="BS21900"/>
    <s v="OB"/>
    <s v="Opening Balance"/>
    <m/>
    <d v="2025-01-01T00:00:00"/>
    <m/>
    <d v="1899-12-30T00:43:57"/>
    <s v="Mini Nair"/>
    <d v="1899-12-30T00:43:57"/>
    <s v="VLEIGLE0005"/>
    <s v="CAT OCL Catering Ltd (Cyprus) "/>
    <m/>
    <m/>
    <d v="1899-12-30T00:44:11"/>
    <s v="Yes"/>
    <s v="Opening Balance"/>
  </r>
  <r>
    <s v="V70000095500"/>
    <s v="BRTFWD"/>
    <s v="Y"/>
    <n v="-176.53"/>
    <n v="168.23"/>
    <n v="-176.53"/>
    <s v="SGD"/>
    <x v="9"/>
    <s v="BS21900"/>
    <s v="OB"/>
    <s v="Opening Balance"/>
    <m/>
    <d v="2025-01-01T00:00:00"/>
    <m/>
    <d v="1899-12-30T00:43:57"/>
    <s v="Mini Nair"/>
    <d v="1899-12-30T00:43:57"/>
    <s v="VSERGSE0041"/>
    <s v="MSD MSD Management"/>
    <m/>
    <m/>
    <d v="1899-12-30T00:44:11"/>
    <s v="Yes"/>
    <s v="Opening Balance"/>
  </r>
  <r>
    <s v="V70000095501"/>
    <s v="BRTFWD"/>
    <s v="Y"/>
    <n v="0.01"/>
    <n v="0.01"/>
    <n v="0.01"/>
    <s v="SGD"/>
    <x v="9"/>
    <s v="BS21900"/>
    <s v="OB"/>
    <s v="Opening Balance"/>
    <m/>
    <d v="2025-01-01T00:00:00"/>
    <m/>
    <d v="1899-12-30T00:43:57"/>
    <s v="Mini Nair"/>
    <d v="1899-12-30T00:43:57"/>
    <s v="VSERGSE0053"/>
    <s v="SCMN - Seacom Electronics (New)"/>
    <m/>
    <m/>
    <d v="1899-12-30T00:44:11"/>
    <s v="Yes"/>
    <s v="Opening Balance"/>
  </r>
  <r>
    <s v="V70000095502"/>
    <s v="BRTFWD"/>
    <s v="Y"/>
    <n v="-601.79999999999995"/>
    <n v="-444.99"/>
    <n v="-601.79999999999995"/>
    <s v="SGD"/>
    <x v="9"/>
    <s v="BS21900"/>
    <s v="OB"/>
    <s v="Opening Balance"/>
    <m/>
    <d v="2025-01-01T00:00:00"/>
    <m/>
    <d v="1899-12-30T00:43:57"/>
    <s v="Mini Nair"/>
    <d v="1899-12-30T00:43:57"/>
    <s v="VSERGSE0066"/>
    <s v="IAPH - Inter Argo PH Inc"/>
    <m/>
    <m/>
    <d v="1899-12-30T00:44:11"/>
    <s v="Yes"/>
    <s v="Opening Balance"/>
  </r>
  <r>
    <s v="V70000095503"/>
    <s v="BRTFWD"/>
    <s v="Y"/>
    <n v="0.01"/>
    <n v="28.13"/>
    <n v="0.01"/>
    <s v="SGD"/>
    <x v="9"/>
    <s v="BS21900"/>
    <s v="OB"/>
    <s v="Opening Balance"/>
    <m/>
    <d v="2025-01-01T00:00:00"/>
    <m/>
    <d v="1899-12-30T00:43:57"/>
    <s v="Mini Nair"/>
    <d v="1899-12-30T00:43:57"/>
    <s v="VSERGSM0047"/>
    <s v="GLW - V.Ships UK Ltd "/>
    <m/>
    <m/>
    <d v="1899-12-30T00:44:11"/>
    <s v="Yes"/>
    <s v="Opening Balance"/>
  </r>
  <r>
    <s v="V70000095504"/>
    <s v="BRTFWD"/>
    <s v="Y"/>
    <n v="60603.12"/>
    <n v="45132.95"/>
    <n v="60603.12"/>
    <s v="SGD"/>
    <x v="9"/>
    <s v="BS21900"/>
    <s v="OB"/>
    <s v="Opening Balance"/>
    <m/>
    <d v="2025-01-01T00:00:00"/>
    <m/>
    <d v="1899-12-30T00:43:57"/>
    <s v="Mini Nair"/>
    <d v="1899-12-30T00:43:57"/>
    <s v="VSERGSM0053"/>
    <s v="VSG V.SHIPS GREECE LTD"/>
    <m/>
    <m/>
    <d v="1899-12-30T00:44:11"/>
    <s v="Yes"/>
    <s v="Opening Balance"/>
  </r>
  <r>
    <s v="V70000095505"/>
    <s v="BRTFWD"/>
    <s v="Y"/>
    <n v="20.12"/>
    <n v="14.84"/>
    <n v="20.12"/>
    <s v="SGD"/>
    <x v="9"/>
    <s v="BS21900"/>
    <s v="OB"/>
    <s v="Opening Balance"/>
    <m/>
    <d v="2025-01-01T00:00:00"/>
    <m/>
    <d v="1899-12-30T00:43:57"/>
    <s v="Mini Nair"/>
    <d v="1899-12-30T00:43:57"/>
    <s v="VSERGSM0091"/>
    <s v="VSCN V.Ships Management (India) Private Limited"/>
    <m/>
    <m/>
    <d v="1899-12-30T00:44:11"/>
    <s v="Yes"/>
    <s v="Opening Balance"/>
  </r>
  <r>
    <s v="V70000095506"/>
    <s v="BRTFWD"/>
    <s v="Y"/>
    <n v="-0.01"/>
    <n v="-0.01"/>
    <n v="-0.01"/>
    <s v="SGD"/>
    <x v="9"/>
    <s v="BS21900"/>
    <s v="OB"/>
    <s v="Opening Balance"/>
    <m/>
    <d v="2025-01-01T00:00:00"/>
    <m/>
    <d v="1899-12-30T00:43:57"/>
    <s v="Mini Nair"/>
    <d v="1899-12-30T00:43:57"/>
    <s v="VSERGSM0108"/>
    <s v="ITMD International Tanker Management Ltd Dubai"/>
    <m/>
    <m/>
    <d v="1899-12-30T00:44:11"/>
    <s v="Yes"/>
    <s v="Opening Balance"/>
  </r>
  <r>
    <s v="V70000095507"/>
    <s v="BRTFWD"/>
    <s v="Y"/>
    <n v="-7018.48"/>
    <n v="-5205.8599999999997"/>
    <n v="-7018.48"/>
    <s v="SGD"/>
    <x v="9"/>
    <s v="BS21900"/>
    <s v="OB"/>
    <s v="Opening Balance"/>
    <m/>
    <d v="2025-01-01T00:00:00"/>
    <m/>
    <d v="1899-12-30T00:43:57"/>
    <s v="Mini Nair"/>
    <d v="1899-12-30T00:43:57"/>
    <s v="VSERGSM0114"/>
    <s v="SRIN Seatec World Repair Services (New)"/>
    <m/>
    <m/>
    <d v="1899-12-30T00:44:11"/>
    <s v="Yes"/>
    <s v="Opening Balance"/>
  </r>
  <r>
    <s v="V70000095508"/>
    <s v="BRTFWD"/>
    <s v="Y"/>
    <n v="1742.04"/>
    <n v="521.87"/>
    <n v="1742.04"/>
    <s v="SGD"/>
    <x v="9"/>
    <s v="BS21900"/>
    <s v="OB"/>
    <s v="Opening Balance"/>
    <m/>
    <d v="2025-01-01T00:00:00"/>
    <m/>
    <d v="1899-12-30T00:43:57"/>
    <s v="Mini Nair"/>
    <d v="1899-12-30T00:43:57"/>
    <s v="VSERGSM0115"/>
    <s v="VMIN V.SHIPS MANAGEMENT (New)"/>
    <m/>
    <m/>
    <d v="1899-12-30T00:44:11"/>
    <s v="Yes"/>
    <s v="Opening Balance"/>
  </r>
  <r>
    <s v="V70000095509"/>
    <s v="BRTFWD"/>
    <s v="Y"/>
    <n v="-2254.54"/>
    <n v="-1892.16"/>
    <n v="-2254.54"/>
    <s v="SGD"/>
    <x v="9"/>
    <s v="BS21900"/>
    <s v="OB"/>
    <s v="Opening Balance"/>
    <m/>
    <d v="2025-01-01T00:00:00"/>
    <m/>
    <d v="1899-12-30T00:43:57"/>
    <s v="Mini Nair"/>
    <d v="1899-12-30T00:43:57"/>
    <s v="VSERGSM0146"/>
    <s v="SCL SeaTec China Limited"/>
    <m/>
    <m/>
    <d v="1899-12-30T00:44:11"/>
    <s v="Yes"/>
    <s v="Opening Balance"/>
  </r>
  <r>
    <s v="V70000095510"/>
    <s v="BRTFWD"/>
    <s v="Y"/>
    <n v="-691.3"/>
    <n v="-509.81"/>
    <n v="-691.3"/>
    <s v="SGD"/>
    <x v="9"/>
    <s v="BS21900"/>
    <s v="OB"/>
    <s v="Opening Balance"/>
    <m/>
    <d v="2025-01-01T00:00:00"/>
    <m/>
    <d v="1899-12-30T00:43:57"/>
    <s v="Mini Nair"/>
    <d v="1899-12-30T00:43:57"/>
    <s v="VSERGSM0159"/>
    <s v="SSCM SHIP SUPPLY CHAIN MANAGEMENT BRANCH"/>
    <m/>
    <m/>
    <d v="1899-12-30T00:44:11"/>
    <s v="Yes"/>
    <s v="Opening Balance"/>
  </r>
  <r>
    <s v="V70000095511"/>
    <s v="BRTFWD"/>
    <s v="Y"/>
    <n v="-1412.32"/>
    <n v="-1294.04"/>
    <n v="-1412.32"/>
    <s v="SGD"/>
    <x v="9"/>
    <s v="BS21900"/>
    <s v="OB"/>
    <s v="Opening Balance"/>
    <m/>
    <d v="2025-01-01T00:00:00"/>
    <m/>
    <d v="1899-12-30T00:43:57"/>
    <s v="Mini Nair"/>
    <d v="1899-12-30T00:43:57"/>
    <s v="VSERGSM0174"/>
    <s v="VGGS V.GROUP GLOBAL (SINGAPORE) Pte Ltd."/>
    <m/>
    <m/>
    <d v="1899-12-30T00:44:11"/>
    <s v="Yes"/>
    <s v="Opening Balance"/>
  </r>
  <r>
    <s v="V70000095248"/>
    <s v="BRTFWD"/>
    <s v="Y"/>
    <n v="-106974.61"/>
    <n v="-84972.64"/>
    <n v="-106974.61"/>
    <s v="SGD"/>
    <x v="10"/>
    <s v="BS1053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89"/>
    <s v="BRTFWD"/>
    <s v="Y"/>
    <n v="1.17"/>
    <n v="9836.49"/>
    <n v="1.17"/>
    <s v="SGD"/>
    <x v="11"/>
    <s v="BS282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90"/>
    <s v="BRTFWD"/>
    <s v="Y"/>
    <n v="0.49"/>
    <n v="24302.57"/>
    <n v="0.49"/>
    <s v="USD"/>
    <x v="12"/>
    <s v="BS282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91"/>
    <s v="BRTFWD"/>
    <s v="Y"/>
    <n v="11748859"/>
    <n v="8650316.3399999999"/>
    <n v="11748859"/>
    <s v="USD"/>
    <x v="13"/>
    <s v="BS271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98"/>
    <s v="BRTFWD"/>
    <s v="Y"/>
    <n v="-1325492.99"/>
    <n v="-963321.23"/>
    <n v="-1325492.99"/>
    <s v="SGD"/>
    <x v="14"/>
    <s v="BS09522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99"/>
    <s v="BRTFWD"/>
    <s v="Y"/>
    <n v="-54143.28"/>
    <n v="-40224.97"/>
    <n v="-54143.28"/>
    <s v="SGD"/>
    <x v="14"/>
    <s v="BS09522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300"/>
    <s v="BRTFWD"/>
    <s v="Y"/>
    <n v="-1633918.76"/>
    <n v="-1202555.9099999999"/>
    <n v="-1633918.76"/>
    <s v="SGD"/>
    <x v="14"/>
    <s v="BS09522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307"/>
    <s v="BRTFWD"/>
    <s v="Y"/>
    <n v="-41242.199999999997"/>
    <n v="-30713.58"/>
    <n v="-41242.199999999997"/>
    <s v="USD"/>
    <x v="15"/>
    <s v="BS25400"/>
    <s v="OB"/>
    <s v="Opening Balance"/>
    <m/>
    <d v="2025-01-01T00:00:00"/>
    <m/>
    <d v="1899-12-30T00:43:57"/>
    <s v="Mini Nair"/>
    <d v="1899-12-30T00:43:57"/>
    <m/>
    <m/>
    <s v="LEVANT"/>
    <m/>
    <d v="1899-12-30T00:44:11"/>
    <s v="Yes"/>
    <s v="Opening Balance"/>
  </r>
  <r>
    <s v="V70000095546"/>
    <s v="BRTFWD"/>
    <s v="Y"/>
    <n v="-299605.15999999997"/>
    <n v="-223343.88"/>
    <n v="-299605.15999999997"/>
    <s v="SGD"/>
    <x v="16"/>
    <s v="BS20102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68"/>
    <s v="BRTFWD"/>
    <s v="Y"/>
    <n v="9631.84"/>
    <n v="24244.54"/>
    <n v="9631.84"/>
    <s v="SGD"/>
    <x v="17"/>
    <s v="BS332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84"/>
    <s v="BRTFWD"/>
    <s v="Y"/>
    <n v="-5.43"/>
    <n v="-4"/>
    <n v="-5.43"/>
    <s v="USD"/>
    <x v="18"/>
    <s v="IGNORE"/>
    <s v="OB"/>
    <s v="Opening Balance"/>
    <m/>
    <d v="2025-01-01T00:00:00"/>
    <m/>
    <d v="1899-12-30T00:43:57"/>
    <s v="Mini Nair"/>
    <d v="1899-12-30T00:43:57"/>
    <s v="VSERGSM0091"/>
    <s v="VSCN V.Ships Management (India) Private Limited"/>
    <m/>
    <m/>
    <d v="1899-12-30T00:44:11"/>
    <s v="Yes"/>
    <s v="Opening Balance"/>
  </r>
  <r>
    <s v="V70000095585"/>
    <s v="BRTFWD"/>
    <s v="Y"/>
    <n v="6.03"/>
    <n v="4.4400000000000004"/>
    <n v="6.03"/>
    <s v="USD"/>
    <x v="18"/>
    <s v="IGNORE"/>
    <s v="OB"/>
    <s v="Opening Balance"/>
    <m/>
    <d v="2025-01-01T00:00:00"/>
    <m/>
    <d v="1899-12-30T00:43:57"/>
    <s v="Mini Nair"/>
    <d v="1899-12-30T00:43:57"/>
    <s v="VSERGSM0115"/>
    <s v="VMIN V.SHIPS MANAGEMENT (New)"/>
    <m/>
    <m/>
    <d v="1899-12-30T00:44:11"/>
    <s v="Yes"/>
    <s v="Opening Balance"/>
  </r>
  <r>
    <s v="V70000095586"/>
    <s v="BRTFWD"/>
    <s v="Y"/>
    <n v="68142224"/>
    <n v="50170979.799999997"/>
    <n v="68142224"/>
    <s v="USD"/>
    <x v="18"/>
    <s v="IGNORE"/>
    <s v="OB"/>
    <s v="Opening Balance"/>
    <m/>
    <d v="2025-01-01T00:00:00"/>
    <m/>
    <d v="1899-12-30T00:43:57"/>
    <s v="Mini Nair"/>
    <d v="1899-12-30T00:43:57"/>
    <s v="VSERGSM0125"/>
    <s v="VSAG V.Ships Asia Group Pte Ltd (HOLDING)"/>
    <m/>
    <m/>
    <d v="1899-12-30T00:44:11"/>
    <s v="Yes"/>
    <s v="Opening Balance"/>
  </r>
  <r>
    <s v="V70000095587"/>
    <s v="BRTFWD"/>
    <s v="Y"/>
    <n v="24447.599999999999"/>
    <n v="18000"/>
    <n v="24447.599999999999"/>
    <s v="USD"/>
    <x v="18"/>
    <s v="IGNORE"/>
    <s v="OB"/>
    <s v="Opening Balance"/>
    <m/>
    <d v="2025-01-01T00:00:00"/>
    <m/>
    <d v="1899-12-30T00:43:57"/>
    <s v="Mini Nair"/>
    <d v="1899-12-30T00:43:57"/>
    <s v="VSERGSM0149"/>
    <s v="VSPN V.SHIPS (PAPUA NEW GUINEA) LTD"/>
    <m/>
    <m/>
    <d v="1899-12-30T00:44:11"/>
    <s v="Yes"/>
    <s v="Opening Balance"/>
  </r>
  <r>
    <s v="V70000095588"/>
    <s v="BRTFWD"/>
    <s v="Y"/>
    <n v="0.03"/>
    <n v="0.02"/>
    <n v="0.03"/>
    <s v="USD"/>
    <x v="18"/>
    <s v="IGNORE"/>
    <s v="OB"/>
    <s v="Opening Balance"/>
    <m/>
    <d v="2025-01-01T00:00:00"/>
    <m/>
    <d v="1899-12-30T00:43:57"/>
    <s v="Mini Nair"/>
    <d v="1899-12-30T00:43:57"/>
    <s v="VSERGSM0176"/>
    <s v="VSSL V.Ships (Shanghai) LTD"/>
    <m/>
    <m/>
    <d v="1899-12-30T00:44:11"/>
    <s v="Yes"/>
    <s v="Opening Balance"/>
  </r>
  <r>
    <s v="V70000095763"/>
    <s v="OBTFER"/>
    <s v="Y"/>
    <n v="-11224.11"/>
    <n v="-8410.33"/>
    <n v="-11224.11"/>
    <s v="SGD"/>
    <x v="10"/>
    <s v="BS10530"/>
    <s v="OJ"/>
    <s v="Opening Balance Transfer"/>
    <m/>
    <d v="2025-01-01T00:00:00"/>
    <m/>
    <d v="1899-12-30T00:43:57"/>
    <s v="Mini Nair"/>
    <d v="1899-12-30T00:43:57"/>
    <m/>
    <m/>
    <m/>
    <m/>
    <d v="1899-12-30T00:44:11"/>
    <s v="Yes"/>
    <s v="TRANSFER FROM 1110202"/>
  </r>
  <r>
    <s v="V70000095512"/>
    <s v="BRTFWD"/>
    <s v="Y"/>
    <n v="51662.98"/>
    <n v="38405.83"/>
    <n v="51662.98"/>
    <s v="SGD"/>
    <x v="9"/>
    <s v="BS21900"/>
    <s v="OB"/>
    <s v="Opening Balance"/>
    <m/>
    <d v="2025-01-01T00:00:00"/>
    <m/>
    <d v="1899-12-30T00:43:57"/>
    <s v="Mini Nair"/>
    <d v="1899-12-30T00:43:57"/>
    <s v="VSERGSM0189"/>
    <s v="BSIN V.SHIPS OFFSHORE (ASIA) PTE. LTD."/>
    <m/>
    <m/>
    <d v="1899-12-30T00:44:11"/>
    <s v="Yes"/>
    <s v="Opening Balance"/>
  </r>
  <r>
    <s v="V70000095513"/>
    <s v="BRTFWD"/>
    <s v="Y"/>
    <n v="1088.3800000000001"/>
    <n v="807.3"/>
    <n v="1088.3800000000001"/>
    <s v="SGD"/>
    <x v="9"/>
    <s v="BS21900"/>
    <s v="OB"/>
    <s v="Opening Balance"/>
    <m/>
    <d v="2025-01-01T00:00:00"/>
    <m/>
    <d v="1899-12-30T00:43:57"/>
    <s v="Mini Nair"/>
    <d v="1899-12-30T00:43:57"/>
    <s v="VSERGSM0196"/>
    <s v="CISI SeaTec Services PTE Ltd"/>
    <m/>
    <m/>
    <d v="1899-12-30T00:44:11"/>
    <s v="Yes"/>
    <s v="Opening Balance"/>
  </r>
  <r>
    <s v="V70000095514"/>
    <s v="BRTFWD"/>
    <s v="Y"/>
    <n v="0.01"/>
    <n v="0.01"/>
    <n v="0.01"/>
    <s v="SGD"/>
    <x v="9"/>
    <s v="BS21900"/>
    <s v="OB"/>
    <s v="Opening Balance"/>
    <m/>
    <d v="2025-01-01T00:00:00"/>
    <m/>
    <d v="1899-12-30T00:43:57"/>
    <s v="Mini Nair"/>
    <d v="1899-12-30T00:43:57"/>
    <s v="VSERGSM0204"/>
    <s v="CMPL SELANDIA CREW MANAGEMENT PTE LTD"/>
    <m/>
    <m/>
    <d v="1899-12-30T00:44:11"/>
    <s v="Yes"/>
    <s v="Opening Balance"/>
  </r>
  <r>
    <s v="V70000095515"/>
    <s v="BRTFWD"/>
    <s v="Y"/>
    <n v="0.01"/>
    <n v="2.2999999999999998"/>
    <n v="0.01"/>
    <s v="SGD"/>
    <x v="9"/>
    <s v="BS21900"/>
    <s v="OB"/>
    <s v="Opening Balance"/>
    <m/>
    <d v="2025-01-01T00:00:00"/>
    <m/>
    <d v="1899-12-30T00:43:57"/>
    <s v="Mini Nair"/>
    <d v="1899-12-30T00:43:57"/>
    <s v="VSERGSM0205"/>
    <s v="SMSG SELANDIA SHIP MANAGEMENT (SINGAPORE) PTE LTD"/>
    <m/>
    <m/>
    <d v="1899-12-30T00:44:11"/>
    <s v="Yes"/>
    <s v="Opening Balance"/>
  </r>
  <r>
    <s v="V70000095516"/>
    <s v="BRTFWD"/>
    <s v="Y"/>
    <n v="117.71"/>
    <n v="673.57"/>
    <n v="117.71"/>
    <s v="SGD"/>
    <x v="9"/>
    <s v="BS21900"/>
    <s v="OB"/>
    <s v="Opening Balance"/>
    <m/>
    <d v="2025-01-01T00:00:00"/>
    <m/>
    <d v="1899-12-30T00:43:57"/>
    <s v="Mini Nair"/>
    <d v="1899-12-30T00:43:57"/>
    <s v="VSERGSM0218"/>
    <s v="UMCR - SEATEC EU AND GLOBAL"/>
    <m/>
    <m/>
    <d v="1899-12-30T00:44:11"/>
    <s v="Yes"/>
    <s v="Opening Balance"/>
  </r>
  <r>
    <s v="V70000095517"/>
    <s v="BRTFWD"/>
    <s v="Y"/>
    <n v="-176.52"/>
    <n v="-128.22"/>
    <n v="-176.52"/>
    <s v="SGD"/>
    <x v="9"/>
    <s v="BS21900"/>
    <s v="OB"/>
    <s v="Opening Balance"/>
    <m/>
    <d v="2025-01-01T00:00:00"/>
    <m/>
    <d v="1899-12-30T00:43:57"/>
    <s v="Mini Nair"/>
    <d v="1899-12-30T00:43:57"/>
    <s v="VSERGSM0249"/>
    <s v="CBM Seatec Condition Monitoring"/>
    <m/>
    <m/>
    <d v="1899-12-30T00:44:11"/>
    <s v="Yes"/>
    <s v="Opening Balance"/>
  </r>
  <r>
    <s v="V70000095518"/>
    <s v="BRTFWD"/>
    <s v="Y"/>
    <n v="-691.28"/>
    <n v="-506.58"/>
    <n v="-691.28"/>
    <s v="SGD"/>
    <x v="9"/>
    <s v="BS21900"/>
    <s v="OB"/>
    <s v="Opening Balance"/>
    <m/>
    <d v="2025-01-01T00:00:00"/>
    <m/>
    <d v="1899-12-30T00:43:57"/>
    <s v="Mini Nair"/>
    <d v="1899-12-30T00:43:57"/>
    <s v="VSERGSM0257"/>
    <s v="VPSS IT INFRASTRUCTURE"/>
    <m/>
    <m/>
    <d v="1899-12-30T00:44:11"/>
    <s v="Yes"/>
    <s v="Opening Balance"/>
  </r>
  <r>
    <s v="V70000095582"/>
    <s v="BRTFWD"/>
    <s v="Y"/>
    <n v="0.61"/>
    <n v="0.45"/>
    <n v="0.61"/>
    <s v="USD"/>
    <x v="19"/>
    <s v="IGNORE"/>
    <s v="OB"/>
    <s v="Opening Balance"/>
    <m/>
    <d v="2025-01-01T00:00:00"/>
    <m/>
    <d v="1899-12-30T00:43:57"/>
    <s v="Mini Nair"/>
    <d v="1899-12-30T00:43:57"/>
    <s v="VCREGSM0041"/>
    <s v="VGP - V.Group Manpower Services"/>
    <m/>
    <m/>
    <d v="1899-12-30T00:44:11"/>
    <s v="Yes"/>
    <s v="Opening Balance"/>
  </r>
  <r>
    <s v="V70000095583"/>
    <s v="BRTFWD"/>
    <s v="Y"/>
    <n v="-0.48"/>
    <n v="-0.35"/>
    <n v="-0.48"/>
    <s v="USD"/>
    <x v="19"/>
    <s v="IGNORE"/>
    <s v="OB"/>
    <s v="Opening Balance"/>
    <m/>
    <d v="2025-01-01T00:00:00"/>
    <m/>
    <d v="1899-12-30T00:43:57"/>
    <s v="Mini Nair"/>
    <d v="1899-12-30T00:43:57"/>
    <s v="VSERGSM0189"/>
    <s v="BSIN V.SHIPS OFFSHORE (ASIA) PTE. LTD."/>
    <m/>
    <m/>
    <d v="1899-12-30T00:44:11"/>
    <s v="Yes"/>
    <s v="Opening Balance"/>
  </r>
  <r>
    <s v="V70000095757"/>
    <s v="OBTFER"/>
    <s v="Y"/>
    <n v="174193.56"/>
    <n v="130567.29"/>
    <n v="174193.56"/>
    <s v="SGD"/>
    <x v="6"/>
    <s v="BS10522"/>
    <s v="OJ"/>
    <s v="Opening Balance Transfer"/>
    <m/>
    <d v="2025-01-01T00:00:00"/>
    <m/>
    <d v="1899-12-30T00:43:57"/>
    <s v="Mini Nair"/>
    <d v="1899-12-30T00:43:57"/>
    <m/>
    <m/>
    <m/>
    <m/>
    <d v="1899-12-30T00:44:11"/>
    <s v="Yes"/>
    <s v="TRANSFER TO 1110100"/>
  </r>
  <r>
    <s v="V70000095243"/>
    <s v="BRTFWD"/>
    <s v="Y"/>
    <n v="1683965.12"/>
    <n v="1342794.68"/>
    <n v="1683965.12"/>
    <s v="SGD"/>
    <x v="20"/>
    <s v="BS1016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93"/>
    <s v="BRTFWD"/>
    <s v="Y"/>
    <n v="-11772781"/>
    <n v="-8667929.3300000001"/>
    <n v="-11772781"/>
    <s v="USD"/>
    <x v="21"/>
    <s v="BS365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309"/>
    <s v="BRTFWD"/>
    <s v="Y"/>
    <n v="194764.89"/>
    <n v="224936.59"/>
    <n v="194764.89"/>
    <s v="SGD"/>
    <x v="22"/>
    <s v="BS2533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21"/>
    <s v="BRTFWD"/>
    <s v="Y"/>
    <n v="-30752.06"/>
    <n v="-22470.32"/>
    <n v="-30752.06"/>
    <s v="USD"/>
    <x v="23"/>
    <s v="BS329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45"/>
    <s v="BRTFWD"/>
    <s v="Y"/>
    <n v="-55458.03"/>
    <n v="245655.69"/>
    <n v="-55458.03"/>
    <s v="SGD"/>
    <x v="24"/>
    <s v="BS360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756"/>
    <s v="OBTFER"/>
    <s v="Y"/>
    <n v="38769"/>
    <n v="29182.03"/>
    <n v="38769"/>
    <s v="SGD"/>
    <x v="20"/>
    <s v="BS10160"/>
    <s v="OJ"/>
    <s v="Opening Balance Transfer"/>
    <m/>
    <d v="2025-01-01T00:00:00"/>
    <m/>
    <d v="1899-12-30T00:43:57"/>
    <s v="Mini Nair"/>
    <d v="1899-12-30T00:43:57"/>
    <m/>
    <m/>
    <m/>
    <m/>
    <d v="1899-12-30T00:59:19"/>
    <s v="Yes"/>
    <s v="TRANSFER FROM 1100601"/>
  </r>
  <r>
    <s v="V70000095239"/>
    <s v="BRTFWD"/>
    <s v="Y"/>
    <n v="9206"/>
    <n v="6951.07"/>
    <n v="9206"/>
    <s v="SGD"/>
    <x v="25"/>
    <s v="BS1013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92"/>
    <s v="BRTFWD"/>
    <s v="Y"/>
    <n v="2261318.7799999998"/>
    <n v="2484010.73"/>
    <n v="2261318.7799999998"/>
    <s v="SGD"/>
    <x v="26"/>
    <s v="BS271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95"/>
    <s v="BRTFWD"/>
    <s v="Y"/>
    <n v="23921.96"/>
    <n v="17612.990000000002"/>
    <n v="23921.96"/>
    <s v="USD"/>
    <x v="27"/>
    <s v="BS2711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96"/>
    <s v="BRTFWD"/>
    <s v="Y"/>
    <n v="-81422.399999999994"/>
    <n v="-61435.71"/>
    <n v="-81422.399999999994"/>
    <s v="SGD"/>
    <x v="28"/>
    <s v="BS09522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97"/>
    <s v="BRTFWD"/>
    <s v="Y"/>
    <n v="0.2"/>
    <n v="0.16"/>
    <n v="0.2"/>
    <s v="SGD"/>
    <x v="28"/>
    <s v="BS09522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301"/>
    <s v="BRTFWD"/>
    <s v="Y"/>
    <n v="-93066.48"/>
    <n v="-68029.67"/>
    <n v="-93066.48"/>
    <s v="SGD"/>
    <x v="29"/>
    <s v="BS0954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302"/>
    <s v="BRTFWD"/>
    <s v="Y"/>
    <n v="65862.960000000006"/>
    <n v="49082.76"/>
    <n v="65862.960000000006"/>
    <s v="SGD"/>
    <x v="29"/>
    <s v="BS0954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23"/>
    <s v="BRTFWD"/>
    <s v="Y"/>
    <n v="-70864.45"/>
    <n v="-57242.12"/>
    <n v="-70864.45"/>
    <s v="SGD"/>
    <x v="30"/>
    <s v="BS311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24"/>
    <s v="BRTFWD"/>
    <s v="Y"/>
    <n v="-2681.21"/>
    <n v="-2710.99"/>
    <n v="-2681.21"/>
    <s v="SGD"/>
    <x v="31"/>
    <s v="BS38210"/>
    <s v="OB"/>
    <s v="Opening Balance"/>
    <m/>
    <d v="2025-01-01T00:00:00"/>
    <m/>
    <d v="1899-12-30T00:43:57"/>
    <s v="Mini Nair"/>
    <d v="1899-12-30T00:43:57"/>
    <s v="VCORGSE0055"/>
    <s v="VPLN Viplex "/>
    <m/>
    <m/>
    <d v="1899-12-30T00:44:11"/>
    <s v="Yes"/>
    <s v="Opening Balance"/>
  </r>
  <r>
    <s v="V70000095525"/>
    <s v="BRTFWD"/>
    <s v="Y"/>
    <n v="0.01"/>
    <n v="244.15"/>
    <n v="0.01"/>
    <s v="SGD"/>
    <x v="31"/>
    <s v="BS38210"/>
    <s v="OB"/>
    <s v="Opening Balance"/>
    <m/>
    <d v="2025-01-01T00:00:00"/>
    <m/>
    <d v="1899-12-30T00:43:57"/>
    <s v="Mini Nair"/>
    <d v="1899-12-30T00:43:57"/>
    <s v="VCORGSE0060"/>
    <s v="VVA - Vouvray Acquisition Ltd"/>
    <m/>
    <m/>
    <d v="1899-12-30T00:44:11"/>
    <s v="Yes"/>
    <s v="Opening Balance"/>
  </r>
  <r>
    <s v="V70000095526"/>
    <s v="BRTFWD"/>
    <s v="Y"/>
    <n v="-2416.44"/>
    <n v="-1779.15"/>
    <n v="-2416.44"/>
    <s v="SGD"/>
    <x v="31"/>
    <s v="BS38210"/>
    <s v="OB"/>
    <s v="Opening Balance"/>
    <m/>
    <d v="2025-01-01T00:00:00"/>
    <m/>
    <d v="1899-12-30T00:43:57"/>
    <s v="Mini Nair"/>
    <d v="1899-12-30T00:43:57"/>
    <s v="VCREGSM0034"/>
    <s v="IMT Inter. Maritime Technical Services"/>
    <m/>
    <m/>
    <d v="1899-12-30T00:44:11"/>
    <s v="Yes"/>
    <s v="Opening Balance"/>
  </r>
  <r>
    <s v="V70000095527"/>
    <s v="BRTFWD"/>
    <s v="Y"/>
    <n v="0.04"/>
    <n v="7.75"/>
    <n v="0.04"/>
    <s v="SGD"/>
    <x v="31"/>
    <s v="BS38210"/>
    <s v="OB"/>
    <s v="Opening Balance"/>
    <m/>
    <d v="2025-01-01T00:00:00"/>
    <m/>
    <d v="1899-12-30T00:43:57"/>
    <s v="Mini Nair"/>
    <d v="1899-12-30T00:43:57"/>
    <s v="VCREGSM0076"/>
    <s v="IND V.SHIPS INDIA Pvt LTD"/>
    <m/>
    <m/>
    <d v="1899-12-30T00:44:11"/>
    <s v="Yes"/>
    <s v="Opening Balance"/>
  </r>
  <r>
    <s v="V70000095528"/>
    <s v="BRTFWD"/>
    <s v="Y"/>
    <n v="-4449.22"/>
    <n v="-2622.67"/>
    <n v="-4449.22"/>
    <s v="SGD"/>
    <x v="31"/>
    <s v="BS38210"/>
    <s v="OB"/>
    <s v="Opening Balance"/>
    <m/>
    <d v="2025-01-01T00:00:00"/>
    <m/>
    <d v="1899-12-30T00:43:57"/>
    <s v="Mini Nair"/>
    <d v="1899-12-30T00:43:57"/>
    <s v="VSERGLE0009"/>
    <s v="VSTN Global Marine Travel"/>
    <m/>
    <m/>
    <d v="1899-12-30T00:44:11"/>
    <s v="Yes"/>
    <s v="Opening Balance"/>
  </r>
  <r>
    <s v="V70000095529"/>
    <s v="BRTFWD"/>
    <s v="Y"/>
    <n v="-4056.94"/>
    <n v="-2998.81"/>
    <n v="-4056.94"/>
    <s v="SGD"/>
    <x v="31"/>
    <s v="BS38210"/>
    <s v="OB"/>
    <s v="Opening Balance"/>
    <m/>
    <d v="2025-01-01T00:00:00"/>
    <m/>
    <d v="1899-12-30T00:43:57"/>
    <s v="Mini Nair"/>
    <d v="1899-12-30T00:43:57"/>
    <s v="VSERGSE0052"/>
    <s v="MSTN Marine Safety &amp; Training Services (New)"/>
    <m/>
    <m/>
    <d v="1899-12-30T00:44:11"/>
    <s v="Yes"/>
    <s v="Opening Balance"/>
  </r>
  <r>
    <s v="V70000095530"/>
    <s v="BRTFWD"/>
    <s v="Y"/>
    <n v="-0.01"/>
    <n v="0.02"/>
    <n v="-0.01"/>
    <s v="SGD"/>
    <x v="31"/>
    <s v="BS38210"/>
    <s v="OB"/>
    <s v="Opening Balance"/>
    <m/>
    <d v="2025-01-01T00:00:00"/>
    <m/>
    <d v="1899-12-30T00:43:57"/>
    <s v="Mini Nair"/>
    <d v="1899-12-30T00:43:57"/>
    <s v="VSERGSE0053"/>
    <s v="SCMN - Seacom Electronics (New)"/>
    <m/>
    <m/>
    <d v="1899-12-30T00:44:11"/>
    <s v="Yes"/>
    <s v="Opening Balance"/>
  </r>
  <r>
    <s v="V70000095531"/>
    <s v="BRTFWD"/>
    <s v="Y"/>
    <n v="-0.01"/>
    <n v="0"/>
    <n v="-0.01"/>
    <s v="SGD"/>
    <x v="31"/>
    <s v="BS38210"/>
    <s v="OB"/>
    <s v="Opening Balance"/>
    <m/>
    <d v="2025-01-01T00:00:00"/>
    <m/>
    <d v="1899-12-30T00:43:57"/>
    <s v="Mini Nair"/>
    <d v="1899-12-30T00:43:57"/>
    <s v="VSERGSM0046"/>
    <s v="VCY V.SHIPS LTD (CYPRUS)"/>
    <m/>
    <m/>
    <d v="1899-12-30T00:44:11"/>
    <s v="Yes"/>
    <s v="Opening Balance"/>
  </r>
  <r>
    <s v="V70000095532"/>
    <s v="BRTFWD"/>
    <s v="Y"/>
    <n v="-0.02"/>
    <n v="23.74"/>
    <n v="-0.02"/>
    <s v="SGD"/>
    <x v="31"/>
    <s v="BS38210"/>
    <s v="OB"/>
    <s v="Opening Balance"/>
    <m/>
    <d v="2025-01-01T00:00:00"/>
    <m/>
    <d v="1899-12-30T00:43:57"/>
    <s v="Mini Nair"/>
    <d v="1899-12-30T00:43:57"/>
    <s v="VSERGSM0047"/>
    <s v="GLW - V.Ships UK Ltd "/>
    <m/>
    <m/>
    <d v="1899-12-30T00:44:11"/>
    <s v="Yes"/>
    <s v="Opening Balance"/>
  </r>
  <r>
    <s v="V70000095533"/>
    <s v="BRTFWD"/>
    <s v="Y"/>
    <n v="73952.13"/>
    <n v="57444.41"/>
    <n v="73952.13"/>
    <s v="SGD"/>
    <x v="31"/>
    <s v="BS38210"/>
    <s v="OB"/>
    <s v="Opening Balance"/>
    <m/>
    <d v="2025-01-01T00:00:00"/>
    <m/>
    <d v="1899-12-30T00:43:57"/>
    <s v="Mini Nair"/>
    <d v="1899-12-30T00:43:57"/>
    <s v="VSERGSM0091"/>
    <s v="VSCN V.Ships Management (India) Private Limited"/>
    <m/>
    <m/>
    <d v="1899-12-30T00:44:11"/>
    <s v="Yes"/>
    <s v="Opening Balance"/>
  </r>
  <r>
    <s v="V70000095534"/>
    <s v="BRTFWD"/>
    <s v="Y"/>
    <n v="0.01"/>
    <n v="0"/>
    <n v="0.01"/>
    <s v="SGD"/>
    <x v="31"/>
    <s v="BS38210"/>
    <s v="OB"/>
    <s v="Opening Balance"/>
    <m/>
    <d v="2025-01-01T00:00:00"/>
    <m/>
    <d v="1899-12-30T00:43:57"/>
    <s v="Mini Nair"/>
    <d v="1899-12-30T00:43:57"/>
    <s v="VSERGSM0114"/>
    <s v="SRIN Seatec World Repair Services (New)"/>
    <m/>
    <m/>
    <d v="1899-12-30T00:44:11"/>
    <s v="Yes"/>
    <s v="Opening Balance"/>
  </r>
  <r>
    <s v="V70000095535"/>
    <s v="BRTFWD"/>
    <s v="Y"/>
    <n v="-108899.11"/>
    <n v="-80780.509999999995"/>
    <n v="-108899.11"/>
    <s v="SGD"/>
    <x v="31"/>
    <s v="BS38210"/>
    <s v="OB"/>
    <s v="Opening Balance"/>
    <m/>
    <d v="2025-01-01T00:00:00"/>
    <m/>
    <d v="1899-12-30T00:43:57"/>
    <s v="Mini Nair"/>
    <d v="1899-12-30T00:43:57"/>
    <s v="VSERGSM0115"/>
    <s v="VMIN V.SHIPS MANAGEMENT (New)"/>
    <m/>
    <m/>
    <d v="1899-12-30T00:44:11"/>
    <s v="Yes"/>
    <s v="Opening Balance"/>
  </r>
  <r>
    <s v="V70000095536"/>
    <s v="BRTFWD"/>
    <s v="Y"/>
    <n v="-9767.49"/>
    <n v="-7200"/>
    <n v="-9767.49"/>
    <s v="SGD"/>
    <x v="31"/>
    <s v="BS38210"/>
    <s v="OB"/>
    <s v="Opening Balance"/>
    <m/>
    <d v="2025-01-01T00:00:00"/>
    <m/>
    <d v="1899-12-30T00:43:57"/>
    <s v="Mini Nair"/>
    <d v="1899-12-30T00:43:57"/>
    <s v="VSERGSM0146"/>
    <s v="SCL SeaTec China Limited"/>
    <m/>
    <m/>
    <d v="1899-12-30T00:44:11"/>
    <s v="Yes"/>
    <s v="Opening Balance"/>
  </r>
  <r>
    <s v="V70000095537"/>
    <s v="BRTFWD"/>
    <s v="Y"/>
    <n v="-3219973.76"/>
    <n v="-2383481.6800000002"/>
    <n v="-3219973.76"/>
    <s v="SGD"/>
    <x v="31"/>
    <s v="BS38210"/>
    <s v="OB"/>
    <s v="Opening Balance"/>
    <m/>
    <d v="2025-01-01T00:00:00"/>
    <m/>
    <d v="1899-12-30T00:43:57"/>
    <s v="Mini Nair"/>
    <d v="1899-12-30T00:43:57"/>
    <s v="VSERGSM0176"/>
    <s v="VSSL V.Ships (Shanghai) LTD"/>
    <m/>
    <m/>
    <d v="1899-12-30T00:44:11"/>
    <s v="Yes"/>
    <s v="Opening Balance"/>
  </r>
  <r>
    <s v="V70000095238"/>
    <s v="BRTFWD"/>
    <s v="Y"/>
    <n v="110461.74"/>
    <n v="90888.47"/>
    <n v="110461.74"/>
    <s v="SGD"/>
    <x v="32"/>
    <s v="BS1013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52"/>
    <s v="BRTFWD"/>
    <s v="Y"/>
    <n v="-307839.53000000003"/>
    <n v="-241886.26"/>
    <n v="-307839.53000000003"/>
    <s v="SGD"/>
    <x v="33"/>
    <s v="BS1054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53"/>
    <s v="BRTFWD"/>
    <s v="Y"/>
    <n v="-9945.48"/>
    <n v="-7454.66"/>
    <n v="-9945.48"/>
    <s v="SGD"/>
    <x v="34"/>
    <s v="BS1054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56"/>
    <s v="BRTFWD"/>
    <s v="Y"/>
    <n v="-332054.31"/>
    <n v="-269204.34999999998"/>
    <n v="-332054.31"/>
    <s v="SGD"/>
    <x v="35"/>
    <s v="BS1151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57"/>
    <s v="BRTFWD"/>
    <s v="Y"/>
    <n v="1422216.27"/>
    <n v="1065038.18"/>
    <n v="1422216.27"/>
    <s v="SGD"/>
    <x v="36"/>
    <s v="BS09103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60"/>
    <s v="BRTFWD"/>
    <s v="Y"/>
    <n v="245818"/>
    <n v="186480.05"/>
    <n v="245818"/>
    <s v="SGD"/>
    <x v="37"/>
    <s v="BS09103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65"/>
    <s v="BRTFWD"/>
    <s v="Y"/>
    <n v="615719.23"/>
    <n v="454911.72"/>
    <n v="615719.23"/>
    <s v="SGD"/>
    <x v="38"/>
    <s v="BS20101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66"/>
    <s v="BRTFWD"/>
    <s v="Y"/>
    <n v="27874.62"/>
    <n v="20523.21"/>
    <n v="27874.62"/>
    <s v="SGD"/>
    <x v="39"/>
    <s v="BS26100"/>
    <s v="OB"/>
    <s v="Opening Balance"/>
    <m/>
    <d v="2025-01-01T00:00:00"/>
    <m/>
    <d v="1899-12-30T00:43:57"/>
    <s v="Mini Nair"/>
    <d v="1899-12-30T00:43:57"/>
    <s v="VCORGSE0060"/>
    <s v="VVA - Vouvray Acquisition Ltd"/>
    <m/>
    <m/>
    <d v="1899-12-30T00:44:11"/>
    <s v="Yes"/>
    <s v="Opening Balance"/>
  </r>
  <r>
    <s v="V70000095267"/>
    <s v="BRTFWD"/>
    <s v="Y"/>
    <n v="-9458.49"/>
    <n v="-6963.99"/>
    <n v="-9458.49"/>
    <s v="SGD"/>
    <x v="39"/>
    <s v="BS26100"/>
    <s v="OB"/>
    <s v="Opening Balance"/>
    <m/>
    <d v="2025-01-01T00:00:00"/>
    <m/>
    <d v="1899-12-30T00:43:57"/>
    <s v="Mini Nair"/>
    <d v="1899-12-30T00:43:57"/>
    <s v="VCREGSM0034"/>
    <s v="IMT Inter. Maritime Technical Services"/>
    <m/>
    <m/>
    <d v="1899-12-30T00:44:11"/>
    <s v="Yes"/>
    <s v="Opening Balance"/>
  </r>
  <r>
    <s v="V70000095268"/>
    <s v="BRTFWD"/>
    <s v="Y"/>
    <n v="11116.45"/>
    <n v="8184.69"/>
    <n v="11116.45"/>
    <s v="SGD"/>
    <x v="39"/>
    <s v="BS26100"/>
    <s v="OB"/>
    <s v="Opening Balance"/>
    <m/>
    <d v="2025-01-01T00:00:00"/>
    <m/>
    <d v="1899-12-30T00:43:57"/>
    <s v="Mini Nair"/>
    <d v="1899-12-30T00:43:57"/>
    <s v="VCREGSM0041"/>
    <s v="VGP - V.Group Manpower Services"/>
    <m/>
    <m/>
    <d v="1899-12-30T00:44:11"/>
    <s v="Yes"/>
    <s v="Opening Balance"/>
  </r>
  <r>
    <s v="V70000095269"/>
    <s v="BRTFWD"/>
    <s v="Y"/>
    <n v="2070.9"/>
    <n v="1524.74"/>
    <n v="2070.9"/>
    <s v="SGD"/>
    <x v="39"/>
    <s v="BS26100"/>
    <s v="OB"/>
    <s v="Opening Balance"/>
    <m/>
    <d v="2025-01-01T00:00:00"/>
    <m/>
    <d v="1899-12-30T00:43:57"/>
    <s v="Mini Nair"/>
    <d v="1899-12-30T00:43:57"/>
    <s v="VCREGSM0265"/>
    <s v="CSL V.Crew (Shanghai) Limited"/>
    <m/>
    <m/>
    <d v="1899-12-30T00:44:11"/>
    <s v="Yes"/>
    <s v="Opening Balance"/>
  </r>
  <r>
    <s v="V70000095270"/>
    <s v="BRTFWD"/>
    <s v="Y"/>
    <n v="31950.79"/>
    <n v="23524.36"/>
    <n v="31950.79"/>
    <s v="SGD"/>
    <x v="39"/>
    <s v="BS26100"/>
    <s v="OB"/>
    <s v="Opening Balance"/>
    <m/>
    <d v="2025-01-01T00:00:00"/>
    <m/>
    <d v="1899-12-30T00:43:57"/>
    <s v="Mini Nair"/>
    <d v="1899-12-30T00:43:57"/>
    <s v="VLEIGLE0005"/>
    <s v="CAT OCL Catering Ltd (Cyprus) "/>
    <m/>
    <m/>
    <d v="1899-12-30T00:44:11"/>
    <s v="Yes"/>
    <s v="Opening Balance"/>
  </r>
  <r>
    <s v="V70000095271"/>
    <s v="BRTFWD"/>
    <s v="Y"/>
    <n v="-3685.11"/>
    <n v="-2713.23"/>
    <n v="-3685.11"/>
    <s v="SGD"/>
    <x v="39"/>
    <s v="BS26100"/>
    <s v="OB"/>
    <s v="Opening Balance"/>
    <m/>
    <d v="2025-01-01T00:00:00"/>
    <m/>
    <d v="1899-12-30T00:43:57"/>
    <s v="Mini Nair"/>
    <d v="1899-12-30T00:43:57"/>
    <s v="VSERGLE0009"/>
    <s v="VSTN Global Marine Travel"/>
    <m/>
    <m/>
    <d v="1899-12-30T00:44:11"/>
    <s v="Yes"/>
    <s v="Opening Balance"/>
  </r>
  <r>
    <s v="V70000095272"/>
    <s v="BRTFWD"/>
    <s v="Y"/>
    <n v="20705.18"/>
    <n v="15244.57"/>
    <n v="20705.18"/>
    <s v="SGD"/>
    <x v="39"/>
    <s v="BS26100"/>
    <s v="OB"/>
    <s v="Opening Balance"/>
    <m/>
    <d v="2025-01-01T00:00:00"/>
    <m/>
    <d v="1899-12-30T00:43:57"/>
    <s v="Mini Nair"/>
    <d v="1899-12-30T00:43:57"/>
    <s v="VSERGSE0072"/>
    <s v="GMFL - Global Marine Travel LLC"/>
    <m/>
    <m/>
    <d v="1899-12-30T00:44:11"/>
    <s v="Yes"/>
    <s v="Opening Balance"/>
  </r>
  <r>
    <s v="V70000095273"/>
    <s v="BRTFWD"/>
    <s v="Y"/>
    <n v="17027.849999999999"/>
    <n v="12537.07"/>
    <n v="17027.849999999999"/>
    <s v="SGD"/>
    <x v="39"/>
    <s v="BS26100"/>
    <s v="OB"/>
    <s v="Opening Balance"/>
    <m/>
    <d v="2025-01-01T00:00:00"/>
    <m/>
    <d v="1899-12-30T00:43:57"/>
    <s v="Mini Nair"/>
    <d v="1899-12-30T00:43:57"/>
    <s v="VSERGSE0075"/>
    <s v="MTS - MSD Management (NEW)"/>
    <m/>
    <m/>
    <d v="1899-12-30T00:44:11"/>
    <s v="Yes"/>
    <s v="Opening Balance"/>
  </r>
  <r>
    <s v="V70000095274"/>
    <s v="BRTFWD"/>
    <s v="Y"/>
    <n v="23476.92"/>
    <n v="17285.32"/>
    <n v="23476.92"/>
    <s v="SGD"/>
    <x v="39"/>
    <s v="BS26100"/>
    <s v="OB"/>
    <s v="Opening Balance"/>
    <m/>
    <d v="2025-01-01T00:00:00"/>
    <m/>
    <d v="1899-12-30T00:43:57"/>
    <s v="Mini Nair"/>
    <d v="1899-12-30T00:43:57"/>
    <s v="VSERGSM0047"/>
    <s v="GLW - V.Ships UK Ltd "/>
    <m/>
    <m/>
    <d v="1899-12-30T00:44:11"/>
    <s v="Yes"/>
    <s v="Opening Balance"/>
  </r>
  <r>
    <s v="V70000095275"/>
    <s v="BRTFWD"/>
    <s v="Y"/>
    <n v="101.15"/>
    <n v="74.47"/>
    <n v="101.15"/>
    <s v="SGD"/>
    <x v="39"/>
    <s v="BS26100"/>
    <s v="OB"/>
    <s v="Opening Balance"/>
    <m/>
    <d v="2025-01-01T00:00:00"/>
    <m/>
    <d v="1899-12-30T00:43:57"/>
    <s v="Mini Nair"/>
    <d v="1899-12-30T00:43:57"/>
    <s v="VSERGSM0053"/>
    <s v="VSG V.SHIPS GREECE LTD"/>
    <m/>
    <m/>
    <d v="1899-12-30T00:44:11"/>
    <s v="Yes"/>
    <s v="Opening Balance"/>
  </r>
  <r>
    <s v="V70000095276"/>
    <s v="BRTFWD"/>
    <s v="Y"/>
    <n v="598.83000000000004"/>
    <n v="440.9"/>
    <n v="598.83000000000004"/>
    <s v="SGD"/>
    <x v="39"/>
    <s v="BS26100"/>
    <s v="OB"/>
    <s v="Opening Balance"/>
    <m/>
    <d v="2025-01-01T00:00:00"/>
    <m/>
    <d v="1899-12-30T00:43:57"/>
    <s v="Mini Nair"/>
    <d v="1899-12-30T00:43:57"/>
    <s v="VSERGSM0091"/>
    <s v="VSCN V.Ships Management (India) Private Limited"/>
    <m/>
    <m/>
    <d v="1899-12-30T00:44:11"/>
    <s v="Yes"/>
    <s v="Opening Balance"/>
  </r>
  <r>
    <s v="V70000095277"/>
    <s v="BRTFWD"/>
    <s v="Y"/>
    <n v="6617.82"/>
    <n v="4872.49"/>
    <n v="6617.82"/>
    <s v="SGD"/>
    <x v="39"/>
    <s v="BS26100"/>
    <s v="OB"/>
    <s v="Opening Balance"/>
    <m/>
    <d v="2025-01-01T00:00:00"/>
    <m/>
    <d v="1899-12-30T00:43:57"/>
    <s v="Mini Nair"/>
    <d v="1899-12-30T00:43:57"/>
    <s v="VSERGSM0114"/>
    <s v="SRIN Seatec World Repair Services (New)"/>
    <m/>
    <m/>
    <d v="1899-12-30T00:44:11"/>
    <s v="Yes"/>
    <s v="Opening Balance"/>
  </r>
  <r>
    <s v="V70000095278"/>
    <s v="BRTFWD"/>
    <s v="Y"/>
    <n v="40220.36"/>
    <n v="29612.99"/>
    <n v="40220.36"/>
    <s v="SGD"/>
    <x v="39"/>
    <s v="BS26100"/>
    <s v="OB"/>
    <s v="Opening Balance"/>
    <m/>
    <d v="2025-01-01T00:00:00"/>
    <m/>
    <d v="1899-12-30T00:43:57"/>
    <s v="Mini Nair"/>
    <d v="1899-12-30T00:43:57"/>
    <s v="VSERGSM0115"/>
    <s v="VMIN V.SHIPS MANAGEMENT (New)"/>
    <m/>
    <m/>
    <d v="1899-12-30T00:44:11"/>
    <s v="Yes"/>
    <s v="Opening Balance"/>
  </r>
  <r>
    <s v="V70000095279"/>
    <s v="BRTFWD"/>
    <s v="Y"/>
    <n v="-4096.63"/>
    <n v="-3016.22"/>
    <n v="-4096.63"/>
    <s v="SGD"/>
    <x v="39"/>
    <s v="BS26100"/>
    <s v="OB"/>
    <s v="Opening Balance"/>
    <m/>
    <d v="2025-01-01T00:00:00"/>
    <m/>
    <d v="1899-12-30T00:43:57"/>
    <s v="Mini Nair"/>
    <d v="1899-12-30T00:43:57"/>
    <s v="VSERGSM0146"/>
    <s v="SCL SeaTec China Limited"/>
    <m/>
    <m/>
    <d v="1899-12-30T00:44:11"/>
    <s v="Yes"/>
    <s v="Opening Balance"/>
  </r>
  <r>
    <s v="V70000095280"/>
    <s v="BRTFWD"/>
    <s v="Y"/>
    <n v="8059.83"/>
    <n v="5934.2"/>
    <n v="8059.83"/>
    <s v="SGD"/>
    <x v="39"/>
    <s v="BS26100"/>
    <s v="OB"/>
    <s v="Opening Balance"/>
    <m/>
    <d v="2025-01-01T00:00:00"/>
    <m/>
    <d v="1899-12-30T00:43:57"/>
    <s v="Mini Nair"/>
    <d v="1899-12-30T00:43:57"/>
    <s v="VSERGSM0159"/>
    <s v="SSCM SHIP SUPPLY CHAIN MANAGEMENT BRANCH"/>
    <m/>
    <m/>
    <d v="1899-12-30T00:44:11"/>
    <s v="Yes"/>
    <s v="Opening Balance"/>
  </r>
  <r>
    <s v="V70000095538"/>
    <s v="BRTFWD"/>
    <s v="Y"/>
    <n v="-10615.87"/>
    <n v="-7816.16"/>
    <n v="-10615.87"/>
    <s v="SGD"/>
    <x v="31"/>
    <s v="BS38210"/>
    <s v="OB"/>
    <s v="Opening Balance"/>
    <m/>
    <d v="2025-01-01T00:00:00"/>
    <m/>
    <d v="1899-12-30T00:43:57"/>
    <s v="Mini Nair"/>
    <d v="1899-12-30T00:43:57"/>
    <s v="VSERGSM0189"/>
    <s v="BSIN V.SHIPS OFFSHORE (ASIA) PTE. LTD."/>
    <m/>
    <m/>
    <d v="1899-12-30T00:44:11"/>
    <s v="Yes"/>
    <s v="Opening Balance"/>
  </r>
  <r>
    <s v="V70000095539"/>
    <s v="BRTFWD"/>
    <s v="Y"/>
    <n v="-16.91"/>
    <n v="-12.47"/>
    <n v="-16.91"/>
    <s v="SGD"/>
    <x v="31"/>
    <s v="BS38210"/>
    <s v="OB"/>
    <s v="Opening Balance"/>
    <m/>
    <d v="2025-01-01T00:00:00"/>
    <m/>
    <d v="1899-12-30T00:43:57"/>
    <s v="Mini Nair"/>
    <d v="1899-12-30T00:43:57"/>
    <s v="VSERGSM0205"/>
    <s v="SMSG SELANDIA SHIP MANAGEMENT (SINGAPORE) PTE LTD"/>
    <m/>
    <m/>
    <d v="1899-12-30T00:44:11"/>
    <s v="Yes"/>
    <s v="Opening Balance"/>
  </r>
  <r>
    <s v="V70000095540"/>
    <s v="BRTFWD"/>
    <s v="Y"/>
    <n v="-24817.02"/>
    <n v="-18271.990000000002"/>
    <n v="-24817.02"/>
    <s v="SGD"/>
    <x v="31"/>
    <s v="BS38210"/>
    <s v="OB"/>
    <s v="Opening Balance"/>
    <m/>
    <d v="2025-01-01T00:00:00"/>
    <m/>
    <d v="1899-12-30T00:43:57"/>
    <s v="Mini Nair"/>
    <d v="1899-12-30T00:43:57"/>
    <s v="VSERGSM0206"/>
    <s v="SMIN SELANDIA SHIPMANAGEMENT (INDIA) PVT LTD"/>
    <m/>
    <m/>
    <d v="1899-12-30T00:44:11"/>
    <s v="Yes"/>
    <s v="Opening Balance"/>
  </r>
  <r>
    <s v="V70000095541"/>
    <s v="BRTFWD"/>
    <s v="Y"/>
    <n v="0.01"/>
    <n v="0"/>
    <n v="0.01"/>
    <s v="SGD"/>
    <x v="31"/>
    <s v="BS38210"/>
    <s v="OB"/>
    <s v="Opening Balance"/>
    <m/>
    <d v="2025-01-01T00:00:00"/>
    <m/>
    <d v="1899-12-30T00:43:57"/>
    <s v="Mini Nair"/>
    <d v="1899-12-30T00:43:57"/>
    <s v="VSERGSM0258"/>
    <s v="NRSG V. Ships (Hamburg) GmbH &amp; Co KG"/>
    <m/>
    <m/>
    <d v="1899-12-30T00:44:11"/>
    <s v="Yes"/>
    <s v="Opening Balance"/>
  </r>
  <r>
    <s v="V70000095542"/>
    <s v="BRTFWD"/>
    <s v="Y"/>
    <n v="-90898.880000000005"/>
    <n v="-66996.399999999994"/>
    <n v="-90898.880000000005"/>
    <s v="SGD"/>
    <x v="31"/>
    <s v="BS38210"/>
    <s v="OB"/>
    <s v="Opening Balance"/>
    <m/>
    <d v="2025-01-01T00:00:00"/>
    <m/>
    <d v="1899-12-30T00:43:57"/>
    <s v="Mini Nair"/>
    <d v="1899-12-30T00:43:57"/>
    <s v="VSERGSM0277"/>
    <s v="Belships Management (Singapore) Pte Ltd"/>
    <m/>
    <m/>
    <d v="1899-12-30T00:44:11"/>
    <s v="Yes"/>
    <s v="Opening Balance"/>
  </r>
  <r>
    <s v="V70000095543"/>
    <s v="BRTFWD"/>
    <s v="Y"/>
    <n v="-0.01"/>
    <n v="0"/>
    <n v="-0.01"/>
    <s v="SGD"/>
    <x v="31"/>
    <s v="BS38210"/>
    <s v="OB"/>
    <s v="Opening Balance"/>
    <m/>
    <d v="2025-01-01T00:00:00"/>
    <m/>
    <d v="1899-12-30T00:43:57"/>
    <s v="Mini Nair"/>
    <d v="1899-12-30T00:43:57"/>
    <s v="VSERGSM0280"/>
    <s v="EHCS - E-HUB CORPORATE SERVICES PRIVATE LIMITED"/>
    <m/>
    <m/>
    <d v="1899-12-30T00:44:11"/>
    <s v="Yes"/>
    <s v="Opening Balance"/>
  </r>
  <r>
    <s v="V70000095544"/>
    <s v="BRTFWD"/>
    <s v="Y"/>
    <n v="-1055201.22"/>
    <n v="-777408.67"/>
    <n v="-1055201.22"/>
    <s v="SGD"/>
    <x v="31"/>
    <s v="BS38210"/>
    <s v="OB"/>
    <s v="Opening Balance"/>
    <m/>
    <d v="2025-01-01T00:00:00"/>
    <m/>
    <d v="1899-12-30T00:43:57"/>
    <s v="Mini Nair"/>
    <d v="1899-12-30T00:43:57"/>
    <s v="VSERGSM0283"/>
    <s v="CHEN -V SHIPS SHIP MANAGEMENT INDIA PRIVATE LTD"/>
    <m/>
    <m/>
    <d v="1899-12-30T00:44:11"/>
    <s v="Yes"/>
    <s v="Opening Balance"/>
  </r>
  <r>
    <s v="V70000095569"/>
    <s v="BRTFWD"/>
    <s v="Y"/>
    <n v="-0.01"/>
    <n v="-0.01"/>
    <n v="-0.01"/>
    <s v="USD"/>
    <x v="40"/>
    <s v="IGNORE"/>
    <s v="OB"/>
    <s v="Opening Balance"/>
    <m/>
    <d v="2025-01-01T00:00:00"/>
    <m/>
    <d v="1899-12-30T00:43:57"/>
    <s v="Mini Nair"/>
    <d v="1899-12-30T00:43:57"/>
    <s v="VCORGSE0055"/>
    <s v="VPLN Viplex "/>
    <m/>
    <m/>
    <d v="1899-12-30T00:44:11"/>
    <s v="Yes"/>
    <s v="Opening Balance"/>
  </r>
  <r>
    <s v="V70000095570"/>
    <s v="BRTFWD"/>
    <s v="Y"/>
    <n v="-33805"/>
    <n v="-24889.56"/>
    <n v="-33805"/>
    <s v="USD"/>
    <x v="40"/>
    <s v="IGNORE"/>
    <s v="OB"/>
    <s v="Opening Balance"/>
    <m/>
    <d v="2025-01-01T00:00:00"/>
    <m/>
    <d v="1899-12-30T00:43:57"/>
    <s v="Mini Nair"/>
    <d v="1899-12-30T00:43:57"/>
    <s v="VCORGSE0060"/>
    <s v="VVA - Vouvray Acquisition Ltd"/>
    <m/>
    <m/>
    <d v="1899-12-30T00:44:11"/>
    <s v="Yes"/>
    <s v="Opening Balance"/>
  </r>
  <r>
    <s v="V70000095571"/>
    <s v="BRTFWD"/>
    <s v="Y"/>
    <n v="0.01"/>
    <n v="0.01"/>
    <n v="0.01"/>
    <s v="USD"/>
    <x v="40"/>
    <s v="IGNORE"/>
    <s v="OB"/>
    <s v="Opening Balance"/>
    <m/>
    <d v="2025-01-01T00:00:00"/>
    <m/>
    <d v="1899-12-30T00:43:57"/>
    <s v="Mini Nair"/>
    <d v="1899-12-30T00:43:57"/>
    <s v="VLEIGLE0005"/>
    <s v="CAT OCL Catering Ltd (Cyprus) "/>
    <m/>
    <m/>
    <d v="1899-12-30T00:44:11"/>
    <s v="Yes"/>
    <s v="Opening Balance"/>
  </r>
  <r>
    <s v="V70000095572"/>
    <s v="BRTFWD"/>
    <s v="Y"/>
    <n v="0.01"/>
    <n v="0.01"/>
    <n v="0.01"/>
    <s v="USD"/>
    <x v="40"/>
    <s v="IGNORE"/>
    <s v="OB"/>
    <s v="Opening Balance"/>
    <m/>
    <d v="2025-01-01T00:00:00"/>
    <m/>
    <d v="1899-12-30T00:43:57"/>
    <s v="Mini Nair"/>
    <d v="1899-12-30T00:43:57"/>
    <s v="VSERGSE0075"/>
    <s v="MTS - MSD Management (NEW)"/>
    <m/>
    <m/>
    <d v="1899-12-30T00:44:11"/>
    <s v="Yes"/>
    <s v="Opening Balance"/>
  </r>
  <r>
    <s v="V70000095573"/>
    <s v="BRTFWD"/>
    <s v="Y"/>
    <n v="0.03"/>
    <n v="0.02"/>
    <n v="0.03"/>
    <s v="USD"/>
    <x v="40"/>
    <s v="IGNORE"/>
    <s v="OB"/>
    <s v="Opening Balance"/>
    <m/>
    <d v="2025-01-01T00:00:00"/>
    <m/>
    <d v="1899-12-30T00:43:57"/>
    <s v="Mini Nair"/>
    <d v="1899-12-30T00:43:57"/>
    <s v="VSERGSM0047"/>
    <s v="GLW - V.Ships UK Ltd "/>
    <m/>
    <m/>
    <d v="1899-12-30T00:44:11"/>
    <s v="Yes"/>
    <s v="Opening Balance"/>
  </r>
  <r>
    <s v="V70000095574"/>
    <s v="BRTFWD"/>
    <s v="Y"/>
    <n v="0.01"/>
    <n v="0.01"/>
    <n v="0.01"/>
    <s v="USD"/>
    <x v="40"/>
    <s v="IGNORE"/>
    <s v="OB"/>
    <s v="Opening Balance"/>
    <m/>
    <d v="2025-01-01T00:00:00"/>
    <m/>
    <d v="1899-12-30T00:43:57"/>
    <s v="Mini Nair"/>
    <d v="1899-12-30T00:43:57"/>
    <s v="VSERGSM0114"/>
    <s v="SRIN Seatec World Repair Services (New)"/>
    <m/>
    <m/>
    <d v="1899-12-30T00:44:11"/>
    <s v="Yes"/>
    <s v="Opening Balance"/>
  </r>
  <r>
    <s v="V70000095575"/>
    <s v="BRTFWD"/>
    <s v="Y"/>
    <n v="-287.14"/>
    <n v="-211.41"/>
    <n v="-287.14"/>
    <s v="USD"/>
    <x v="40"/>
    <s v="IGNORE"/>
    <s v="OB"/>
    <s v="Opening Balance"/>
    <m/>
    <d v="2025-01-01T00:00:00"/>
    <m/>
    <d v="1899-12-30T00:43:57"/>
    <s v="Mini Nair"/>
    <d v="1899-12-30T00:43:57"/>
    <s v="VSERGSM0115"/>
    <s v="VMIN V.SHIPS MANAGEMENT (New)"/>
    <m/>
    <m/>
    <d v="1899-12-30T00:44:11"/>
    <s v="Yes"/>
    <s v="Opening Balance"/>
  </r>
  <r>
    <s v="V70000095576"/>
    <s v="BRTFWD"/>
    <s v="Y"/>
    <n v="-0.01"/>
    <n v="-0.01"/>
    <n v="-0.01"/>
    <s v="USD"/>
    <x v="40"/>
    <s v="IGNORE"/>
    <s v="OB"/>
    <s v="Opening Balance"/>
    <m/>
    <d v="2025-01-01T00:00:00"/>
    <m/>
    <d v="1899-12-30T00:43:57"/>
    <s v="Mini Nair"/>
    <d v="1899-12-30T00:43:57"/>
    <s v="VSERGSM0174"/>
    <s v="VGGS V.GROUP GLOBAL (SINGAPORE) Pte Ltd."/>
    <m/>
    <m/>
    <d v="1899-12-30T00:44:11"/>
    <s v="Yes"/>
    <s v="Opening Balance"/>
  </r>
  <r>
    <s v="V70000095577"/>
    <s v="BRTFWD"/>
    <s v="Y"/>
    <n v="-0.45"/>
    <n v="-0.33"/>
    <n v="-0.45"/>
    <s v="USD"/>
    <x v="40"/>
    <s v="IGNORE"/>
    <s v="OB"/>
    <s v="Opening Balance"/>
    <m/>
    <d v="2025-01-01T00:00:00"/>
    <m/>
    <d v="1899-12-30T00:43:57"/>
    <s v="Mini Nair"/>
    <d v="1899-12-30T00:43:57"/>
    <s v="VSERGSM0189"/>
    <s v="BSIN V.SHIPS OFFSHORE (ASIA) PTE. LTD."/>
    <m/>
    <m/>
    <d v="1899-12-30T00:44:11"/>
    <s v="Yes"/>
    <s v="Opening Balance"/>
  </r>
  <r>
    <s v="V70000095578"/>
    <s v="BRTFWD"/>
    <s v="Y"/>
    <n v="0.01"/>
    <n v="0.01"/>
    <n v="0.01"/>
    <s v="USD"/>
    <x v="40"/>
    <s v="IGNORE"/>
    <s v="OB"/>
    <s v="Opening Balance"/>
    <m/>
    <d v="2025-01-01T00:00:00"/>
    <m/>
    <d v="1899-12-30T00:43:57"/>
    <s v="Mini Nair"/>
    <d v="1899-12-30T00:43:57"/>
    <s v="VSERGSM0218"/>
    <s v="UMCR - SEATEC EU AND GLOBAL"/>
    <m/>
    <m/>
    <d v="1899-12-30T00:44:11"/>
    <s v="Yes"/>
    <s v="Opening Balance"/>
  </r>
  <r>
    <s v="V70000095579"/>
    <s v="BRTFWD"/>
    <s v="Y"/>
    <n v="0.01"/>
    <n v="0.01"/>
    <n v="0.01"/>
    <s v="USD"/>
    <x v="40"/>
    <s v="IGNORE"/>
    <s v="OB"/>
    <s v="Opening Balance"/>
    <m/>
    <d v="2025-01-01T00:00:00"/>
    <m/>
    <d v="1899-12-30T00:43:57"/>
    <s v="Mini Nair"/>
    <d v="1899-12-30T00:43:57"/>
    <s v="VSERGSM0249"/>
    <s v="CBM Seatec Condition Monitoring"/>
    <m/>
    <m/>
    <d v="1899-12-30T00:44:11"/>
    <s v="Yes"/>
    <s v="Opening Balance"/>
  </r>
  <r>
    <s v="V70000095580"/>
    <s v="BRTFWD"/>
    <s v="Y"/>
    <n v="0.2"/>
    <n v="0.15"/>
    <n v="0.2"/>
    <s v="USD"/>
    <x v="40"/>
    <s v="IGNORE"/>
    <s v="OB"/>
    <s v="Opening Balance"/>
    <m/>
    <d v="2025-01-01T00:00:00"/>
    <m/>
    <d v="1899-12-30T00:43:57"/>
    <s v="Mini Nair"/>
    <d v="1899-12-30T00:43:57"/>
    <s v="VSERGSM0268"/>
    <s v="ISTA V.SHIPS ISTANBUL MARINE SERVICES USD"/>
    <m/>
    <m/>
    <d v="1899-12-30T00:44:11"/>
    <s v="Yes"/>
    <s v="Opening Balance"/>
  </r>
  <r>
    <s v="V70000095581"/>
    <s v="BRTFWD"/>
    <s v="Y"/>
    <n v="0.01"/>
    <n v="0.01"/>
    <n v="0.01"/>
    <s v="USD"/>
    <x v="40"/>
    <s v="IGNORE"/>
    <s v="OB"/>
    <s v="Opening Balance"/>
    <m/>
    <d v="2025-01-01T00:00:00"/>
    <m/>
    <d v="1899-12-30T00:43:57"/>
    <s v="Mini Nair"/>
    <d v="1899-12-30T00:43:57"/>
    <s v="VSERGSM0280"/>
    <s v="EHCS - E-HUB CORPORATE SERVICES PRIVATE LIMITED"/>
    <m/>
    <m/>
    <d v="1899-12-30T00:44:11"/>
    <s v="Yes"/>
    <s v="Opening Balance"/>
  </r>
  <r>
    <s v="V70000095599"/>
    <s v="BRTFWD"/>
    <s v="Y"/>
    <n v="-13566089.99"/>
    <n v="-9984777.0299999993"/>
    <n v="-13566089.99"/>
    <s v="SGD"/>
    <x v="41"/>
    <s v="BS530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37"/>
    <s v="BRTFWD"/>
    <s v="Y"/>
    <n v="1350000"/>
    <n v="985689.25"/>
    <n v="1350000"/>
    <s v="SGD"/>
    <x v="42"/>
    <s v="BS10103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41"/>
    <s v="BRTFWD"/>
    <s v="Y"/>
    <n v="37000"/>
    <n v="27537.96"/>
    <n v="37000"/>
    <s v="SGD"/>
    <x v="43"/>
    <s v="BS1014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50"/>
    <s v="BRTFWD"/>
    <s v="Y"/>
    <n v="-927840.95"/>
    <n v="-727618.16"/>
    <n v="-927840.95"/>
    <s v="SGD"/>
    <x v="44"/>
    <s v="BS1054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51"/>
    <s v="BRTFWD"/>
    <s v="Y"/>
    <n v="-233354.39"/>
    <n v="-174946.04"/>
    <n v="-233354.39"/>
    <s v="SGD"/>
    <x v="45"/>
    <s v="BS1054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61"/>
    <s v="BRTFWD"/>
    <s v="Y"/>
    <n v="143852.93"/>
    <n v="103625.51"/>
    <n v="143852.93"/>
    <s v="SGD"/>
    <x v="46"/>
    <s v="BS0913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62"/>
    <s v="BRTFWD"/>
    <s v="Y"/>
    <n v="-67072.34"/>
    <n v="-49646.44"/>
    <n v="-67072.34"/>
    <s v="SGD"/>
    <x v="46"/>
    <s v="BS0913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63"/>
    <s v="BRTFWD"/>
    <s v="Y"/>
    <n v="25073474.59"/>
    <n v="22514693.129999999"/>
    <n v="25073474.59"/>
    <s v="SGD"/>
    <x v="47"/>
    <s v="BS1112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64"/>
    <s v="BRTFWD"/>
    <s v="Y"/>
    <n v="594104.81000000006"/>
    <n v="475078"/>
    <n v="594104.81000000006"/>
    <s v="SGD"/>
    <x v="48"/>
    <s v="BS1201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52"/>
    <s v="BRTFWD"/>
    <s v="Y"/>
    <n v="135820"/>
    <n v="100000"/>
    <n v="135820"/>
    <s v="USD"/>
    <x v="49"/>
    <s v="BS33210"/>
    <s v="OB"/>
    <s v="Opening Balance"/>
    <m/>
    <d v="2025-01-01T00:00:00"/>
    <m/>
    <d v="1899-12-30T00:43:57"/>
    <s v="Mini Nair"/>
    <d v="1899-12-30T00:43:57"/>
    <m/>
    <m/>
    <s v="AZUNOV"/>
    <m/>
    <d v="1899-12-30T00:44:11"/>
    <s v="Yes"/>
    <s v="Opening Balance"/>
  </r>
  <r>
    <s v="V70000095557"/>
    <s v="BRTFWD"/>
    <s v="Y"/>
    <n v="135820"/>
    <n v="100000"/>
    <n v="135820"/>
    <s v="USD"/>
    <x v="49"/>
    <s v="BS33210"/>
    <s v="OB"/>
    <s v="Opening Balance"/>
    <m/>
    <d v="2025-01-01T00:00:00"/>
    <m/>
    <d v="1899-12-30T00:43:57"/>
    <s v="Mini Nair"/>
    <d v="1899-12-30T00:43:57"/>
    <m/>
    <m/>
    <s v="CLYDE2"/>
    <m/>
    <d v="1899-12-30T00:44:11"/>
    <s v="Yes"/>
    <s v="Opening Balance"/>
  </r>
  <r>
    <s v="V70000095559"/>
    <s v="BRTFWD"/>
    <s v="Y"/>
    <n v="67910"/>
    <n v="50000"/>
    <n v="67910"/>
    <s v="USD"/>
    <x v="49"/>
    <s v="BS33210"/>
    <s v="OB"/>
    <s v="Opening Balance"/>
    <m/>
    <d v="2025-01-01T00:00:00"/>
    <m/>
    <d v="1899-12-30T00:43:57"/>
    <s v="Mini Nair"/>
    <d v="1899-12-30T00:43:57"/>
    <m/>
    <m/>
    <s v="GULLIT"/>
    <m/>
    <d v="1899-12-30T00:44:11"/>
    <s v="Yes"/>
    <s v="Opening Balance"/>
  </r>
  <r>
    <s v="V70000095560"/>
    <s v="BRTFWD"/>
    <s v="Y"/>
    <n v="135820"/>
    <n v="100000"/>
    <n v="135820"/>
    <s v="USD"/>
    <x v="49"/>
    <s v="BS33210"/>
    <s v="OB"/>
    <s v="Opening Balance"/>
    <m/>
    <d v="2025-01-01T00:00:00"/>
    <m/>
    <d v="1899-12-30T00:43:57"/>
    <s v="Mini Nair"/>
    <d v="1899-12-30T00:43:57"/>
    <m/>
    <m/>
    <s v="LARA20"/>
    <m/>
    <d v="1899-12-30T00:44:11"/>
    <s v="Yes"/>
    <s v="Opening Balance"/>
  </r>
  <r>
    <s v="V70000095591"/>
    <s v="BRTFWD"/>
    <s v="Y"/>
    <n v="-1015883.35"/>
    <n v="-740419.79"/>
    <n v="-1015883.35"/>
    <s v="SGD"/>
    <x v="50"/>
    <s v="BS41662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92"/>
    <s v="BRTFWD"/>
    <s v="Y"/>
    <n v="-18980.8"/>
    <n v="-14090.28"/>
    <n v="-18980.8"/>
    <s v="SGD"/>
    <x v="50"/>
    <s v="BS41662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93"/>
    <s v="BRTFWD"/>
    <s v="Y"/>
    <n v="206160.9"/>
    <n v="141469.43"/>
    <n v="206160.9"/>
    <s v="SGD"/>
    <x v="50"/>
    <s v="BS41662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752"/>
    <s v="OBTFER"/>
    <s v="Y"/>
    <n v="-37000"/>
    <n v="-27537.96"/>
    <n v="-37000"/>
    <s v="SGD"/>
    <x v="43"/>
    <s v="BS10140"/>
    <s v="OJ"/>
    <s v="Opening Balance Transfer"/>
    <m/>
    <d v="2025-01-01T00:00:00"/>
    <m/>
    <d v="1899-12-30T00:43:57"/>
    <s v="Mini Nair"/>
    <d v="1899-12-30T00:43:57"/>
    <m/>
    <m/>
    <m/>
    <m/>
    <d v="1899-12-30T00:59:19"/>
    <s v="Yes"/>
    <s v="TRANSFER TO 1100300"/>
  </r>
  <r>
    <s v="V70000095759"/>
    <s v="OBTFER"/>
    <s v="Y"/>
    <n v="233354.39"/>
    <n v="174946.04"/>
    <n v="233354.39"/>
    <s v="SGD"/>
    <x v="45"/>
    <s v="BS10540"/>
    <s v="OJ"/>
    <s v="Opening Balance Transfer"/>
    <m/>
    <d v="2025-01-01T00:00:00"/>
    <m/>
    <d v="1899-12-30T00:43:57"/>
    <s v="Mini Nair"/>
    <d v="1899-12-30T00:43:57"/>
    <m/>
    <m/>
    <m/>
    <m/>
    <d v="1899-12-30T00:44:11"/>
    <s v="Yes"/>
    <s v="TRANSFER TO 1110300"/>
  </r>
  <r>
    <s v="V70000095764"/>
    <s v="OBTFER"/>
    <s v="Y"/>
    <n v="-233354.39"/>
    <n v="-174946.04"/>
    <n v="-233354.39"/>
    <s v="SGD"/>
    <x v="44"/>
    <s v="BS10540"/>
    <s v="OJ"/>
    <s v="Opening Balance Transfer"/>
    <m/>
    <d v="2025-01-01T00:00:00"/>
    <m/>
    <d v="1899-12-30T00:43:57"/>
    <s v="Mini Nair"/>
    <d v="1899-12-30T00:43:57"/>
    <m/>
    <m/>
    <m/>
    <m/>
    <d v="1899-12-30T00:44:11"/>
    <s v="Yes"/>
    <s v="TRANSFER FROM 1110302"/>
  </r>
  <r>
    <s v="V70000095242"/>
    <s v="BRTFWD"/>
    <s v="Y"/>
    <n v="333454.57"/>
    <n v="280107"/>
    <n v="333454.57"/>
    <s v="SGD"/>
    <x v="51"/>
    <s v="BS1014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44"/>
    <s v="BRTFWD"/>
    <s v="Y"/>
    <n v="38769"/>
    <n v="29182.03"/>
    <n v="38769"/>
    <s v="SGD"/>
    <x v="52"/>
    <s v="BS1016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49"/>
    <s v="BRTFWD"/>
    <s v="Y"/>
    <n v="-11224.11"/>
    <n v="-8410.33"/>
    <n v="-11224.11"/>
    <s v="SGD"/>
    <x v="53"/>
    <s v="BS1053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55"/>
    <s v="BRTFWD"/>
    <s v="Y"/>
    <n v="-80365.55"/>
    <n v="-60255.34"/>
    <n v="-80365.55"/>
    <s v="SGD"/>
    <x v="54"/>
    <s v="BS1056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58"/>
    <s v="BRTFWD"/>
    <s v="Y"/>
    <n v="2247574.84"/>
    <n v="1635494.9"/>
    <n v="2247574.84"/>
    <s v="SGD"/>
    <x v="55"/>
    <s v="BS09103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59"/>
    <s v="BRTFWD"/>
    <s v="Y"/>
    <n v="161481.92000000001"/>
    <n v="115608.48"/>
    <n v="161481.92000000001"/>
    <s v="SGD"/>
    <x v="55"/>
    <s v="BS09103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288"/>
    <s v="BRTFWD"/>
    <s v="Y"/>
    <n v="460.43"/>
    <n v="339"/>
    <n v="460.43"/>
    <s v="USD"/>
    <x v="56"/>
    <s v="BS284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310"/>
    <s v="BRTFWD"/>
    <s v="Y"/>
    <n v="-41.78"/>
    <n v="-30.76"/>
    <n v="-41.78"/>
    <s v="USD"/>
    <x v="57"/>
    <s v="BS213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19"/>
    <s v="BRTFWD"/>
    <s v="Y"/>
    <n v="24525.07"/>
    <n v="37074.120000000003"/>
    <n v="24525.07"/>
    <s v="SGD"/>
    <x v="58"/>
    <s v="BS225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753"/>
    <s v="OBTFER"/>
    <s v="Y"/>
    <n v="-38769"/>
    <n v="-29182.03"/>
    <n v="-38769"/>
    <s v="SGD"/>
    <x v="52"/>
    <s v="BS10160"/>
    <s v="OJ"/>
    <s v="Opening Balance Transfer"/>
    <m/>
    <d v="2025-01-01T00:00:00"/>
    <m/>
    <d v="1899-12-30T00:43:57"/>
    <s v="Mini Nair"/>
    <d v="1899-12-30T00:43:57"/>
    <m/>
    <m/>
    <m/>
    <m/>
    <d v="1899-12-30T00:59:19"/>
    <s v="Yes"/>
    <s v="TRANSFER TO 1100600"/>
  </r>
  <r>
    <s v="V70000095758"/>
    <s v="OBTFER"/>
    <s v="Y"/>
    <n v="11224.11"/>
    <n v="8410.33"/>
    <n v="11224.11"/>
    <s v="SGD"/>
    <x v="53"/>
    <s v="BS10530"/>
    <s v="OJ"/>
    <s v="Opening Balance Transfer"/>
    <m/>
    <d v="2025-01-01T00:00:00"/>
    <m/>
    <d v="1899-12-30T00:43:57"/>
    <s v="Mini Nair"/>
    <d v="1899-12-30T00:43:57"/>
    <m/>
    <m/>
    <m/>
    <m/>
    <d v="1899-12-30T00:44:11"/>
    <s v="Yes"/>
    <s v="TRANSFER TO 1110200"/>
  </r>
  <r>
    <s v="V70000095761"/>
    <s v="OBTFER"/>
    <s v="Y"/>
    <n v="80365.55"/>
    <n v="60255.34"/>
    <n v="80365.55"/>
    <s v="SGD"/>
    <x v="54"/>
    <s v="BS10560"/>
    <s v="OJ"/>
    <s v="Opening Balance Transfer"/>
    <m/>
    <d v="2025-01-01T00:00:00"/>
    <m/>
    <d v="1899-12-30T00:43:57"/>
    <s v="Mini Nair"/>
    <d v="1899-12-30T00:43:57"/>
    <m/>
    <m/>
    <m/>
    <m/>
    <d v="1899-12-30T00:44:11"/>
    <s v="Yes"/>
    <s v="TRANSFER TO 1110600"/>
  </r>
  <r>
    <s v="V70000095281"/>
    <s v="BRTFWD"/>
    <s v="Y"/>
    <n v="12663.34"/>
    <n v="9323.6200000000008"/>
    <n v="12663.34"/>
    <s v="SGD"/>
    <x v="39"/>
    <s v="BS26100"/>
    <s v="OB"/>
    <s v="Opening Balance"/>
    <m/>
    <d v="2025-01-01T00:00:00"/>
    <m/>
    <d v="1899-12-30T00:43:57"/>
    <s v="Mini Nair"/>
    <d v="1899-12-30T00:43:57"/>
    <s v="VSERGSM0174"/>
    <s v="VGGS V.GROUP GLOBAL (SINGAPORE) Pte Ltd."/>
    <m/>
    <m/>
    <d v="1899-12-30T00:44:11"/>
    <s v="Yes"/>
    <s v="Opening Balance"/>
  </r>
  <r>
    <s v="V70000095282"/>
    <s v="BRTFWD"/>
    <s v="Y"/>
    <n v="6510.45"/>
    <n v="4793.4399999999996"/>
    <n v="6510.45"/>
    <s v="SGD"/>
    <x v="39"/>
    <s v="BS26100"/>
    <s v="OB"/>
    <s v="Opening Balance"/>
    <m/>
    <d v="2025-01-01T00:00:00"/>
    <m/>
    <d v="1899-12-30T00:43:57"/>
    <s v="Mini Nair"/>
    <d v="1899-12-30T00:43:57"/>
    <s v="VSERGSM0176"/>
    <s v="VSSL V.Ships (Shanghai) LTD"/>
    <m/>
    <m/>
    <d v="1899-12-30T00:44:11"/>
    <s v="Yes"/>
    <s v="Opening Balance"/>
  </r>
  <r>
    <s v="V70000095283"/>
    <s v="BRTFWD"/>
    <s v="Y"/>
    <n v="65394.5"/>
    <n v="48147.92"/>
    <n v="65394.5"/>
    <s v="SGD"/>
    <x v="39"/>
    <s v="BS26100"/>
    <s v="OB"/>
    <s v="Opening Balance"/>
    <m/>
    <d v="2025-01-01T00:00:00"/>
    <m/>
    <d v="1899-12-30T00:43:57"/>
    <s v="Mini Nair"/>
    <d v="1899-12-30T00:43:57"/>
    <s v="VSERGSM0189"/>
    <s v="BSIN V.SHIPS OFFSHORE (ASIA) PTE. LTD."/>
    <m/>
    <m/>
    <d v="1899-12-30T00:44:11"/>
    <s v="Yes"/>
    <s v="Opening Balance"/>
  </r>
  <r>
    <s v="V70000095284"/>
    <s v="BRTFWD"/>
    <s v="Y"/>
    <n v="30189.25"/>
    <n v="22227.39"/>
    <n v="30189.25"/>
    <s v="SGD"/>
    <x v="39"/>
    <s v="BS26100"/>
    <s v="OB"/>
    <s v="Opening Balance"/>
    <m/>
    <d v="2025-01-01T00:00:00"/>
    <m/>
    <d v="1899-12-30T00:43:57"/>
    <s v="Mini Nair"/>
    <d v="1899-12-30T00:43:57"/>
    <s v="VSERGSM0218"/>
    <s v="UMCR - SEATEC EU AND GLOBAL"/>
    <m/>
    <m/>
    <d v="1899-12-30T00:44:11"/>
    <s v="Yes"/>
    <s v="Opening Balance"/>
  </r>
  <r>
    <s v="V70000095285"/>
    <s v="BRTFWD"/>
    <s v="Y"/>
    <n v="8513.92"/>
    <n v="6268.53"/>
    <n v="8513.92"/>
    <s v="SGD"/>
    <x v="39"/>
    <s v="BS26100"/>
    <s v="OB"/>
    <s v="Opening Balance"/>
    <m/>
    <d v="2025-01-01T00:00:00"/>
    <m/>
    <d v="1899-12-30T00:43:57"/>
    <s v="Mini Nair"/>
    <d v="1899-12-30T00:43:57"/>
    <s v="VSERGSM0249"/>
    <s v="CBM Seatec Condition Monitoring"/>
    <m/>
    <m/>
    <d v="1899-12-30T00:44:11"/>
    <s v="Yes"/>
    <s v="Opening Balance"/>
  </r>
  <r>
    <s v="V70000095286"/>
    <s v="BRTFWD"/>
    <s v="Y"/>
    <n v="-7297.95"/>
    <n v="-5373.25"/>
    <n v="-7297.95"/>
    <s v="SGD"/>
    <x v="39"/>
    <s v="BS26100"/>
    <s v="OB"/>
    <s v="Opening Balance"/>
    <m/>
    <d v="2025-01-01T00:00:00"/>
    <m/>
    <d v="1899-12-30T00:43:57"/>
    <s v="Mini Nair"/>
    <d v="1899-12-30T00:43:57"/>
    <s v="VSERGSM0257"/>
    <s v="VPSS IT INFRASTRUCTURE"/>
    <m/>
    <m/>
    <d v="1899-12-30T00:44:11"/>
    <s v="Yes"/>
    <s v="Opening Balance"/>
  </r>
  <r>
    <s v="V70000095287"/>
    <s v="BRTFWD"/>
    <s v="Y"/>
    <n v="98462"/>
    <n v="74496.539999999994"/>
    <n v="98462"/>
    <s v="SGD"/>
    <x v="39"/>
    <s v="BS26100"/>
    <s v="OB"/>
    <s v="Opening Balance"/>
    <m/>
    <d v="2025-01-01T00:00:00"/>
    <m/>
    <d v="1899-12-30T00:43:57"/>
    <s v="Mini Nair"/>
    <d v="1899-12-30T00:43:57"/>
    <s v="VSERGSM0277"/>
    <s v="Belships Management (Singapore) Pte Ltd"/>
    <m/>
    <m/>
    <d v="1899-12-30T00:44:11"/>
    <s v="Yes"/>
    <s v="Opening Balance"/>
  </r>
  <r>
    <s v="V70000095303"/>
    <s v="BRTFWD"/>
    <s v="Y"/>
    <n v="59381.56"/>
    <n v="44509.51"/>
    <n v="59381.56"/>
    <s v="SGD"/>
    <x v="59"/>
    <s v="BS251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316"/>
    <s v="BRTFWD"/>
    <s v="Y"/>
    <n v="-490.64"/>
    <n v="-364.19"/>
    <n v="-490.64"/>
    <s v="SGD"/>
    <x v="60"/>
    <s v="BS22000"/>
    <s v="OB"/>
    <s v="Opening Balance"/>
    <m/>
    <d v="2025-01-01T00:00:00"/>
    <m/>
    <d v="1899-12-30T00:43:57"/>
    <s v="Mini Nair"/>
    <d v="1899-12-30T00:43:57"/>
    <m/>
    <m/>
    <s v="apcalc"/>
    <m/>
    <d v="1899-12-30T00:44:11"/>
    <s v="Yes"/>
    <s v="Opening Balance"/>
  </r>
  <r>
    <s v="V70000095327"/>
    <s v="BRTFWD"/>
    <s v="Y"/>
    <n v="-869.3"/>
    <n v="-648.92999999999995"/>
    <n v="-869.3"/>
    <s v="SGD"/>
    <x v="60"/>
    <s v="BS22000"/>
    <s v="OB"/>
    <s v="Opening Balance"/>
    <m/>
    <d v="2025-01-01T00:00:00"/>
    <m/>
    <d v="1899-12-30T00:43:57"/>
    <s v="Mini Nair"/>
    <d v="1899-12-30T00:43:57"/>
    <m/>
    <m/>
    <s v="AZUNOV"/>
    <m/>
    <d v="1899-12-30T00:44:11"/>
    <s v="Yes"/>
    <s v="Opening Balance"/>
  </r>
  <r>
    <s v="V70000095344"/>
    <s v="BRTFWD"/>
    <s v="Y"/>
    <n v="33.450000000000003"/>
    <n v="24.97"/>
    <n v="33.450000000000003"/>
    <s v="SGD"/>
    <x v="60"/>
    <s v="BS22000"/>
    <s v="OB"/>
    <s v="Opening Balance"/>
    <m/>
    <d v="2025-01-01T00:00:00"/>
    <m/>
    <d v="1899-12-30T00:43:57"/>
    <s v="Mini Nair"/>
    <d v="1899-12-30T00:43:57"/>
    <m/>
    <m/>
    <s v="CLMONA"/>
    <m/>
    <d v="1899-12-30T00:44:11"/>
    <s v="Yes"/>
    <s v="Opening Balance"/>
  </r>
  <r>
    <s v="V70000095347"/>
    <s v="BRTFWD"/>
    <s v="Y"/>
    <n v="2.4900000000000002"/>
    <n v="31.08"/>
    <n v="2.4900000000000002"/>
    <s v="SGD"/>
    <x v="60"/>
    <s v="BS22000"/>
    <s v="OB"/>
    <s v="Opening Balance"/>
    <m/>
    <d v="2025-01-01T00:00:00"/>
    <m/>
    <d v="1899-12-30T00:43:57"/>
    <s v="Mini Nair"/>
    <d v="1899-12-30T00:43:57"/>
    <m/>
    <m/>
    <s v="CLYDE2"/>
    <m/>
    <d v="1899-12-30T00:44:11"/>
    <s v="Yes"/>
    <s v="Opening Balance"/>
  </r>
  <r>
    <s v="V70000095359"/>
    <s v="BRTFWD"/>
    <s v="Y"/>
    <n v="-288.27"/>
    <n v="-208.21"/>
    <n v="-288.27"/>
    <s v="SGD"/>
    <x v="60"/>
    <s v="BS22000"/>
    <s v="OB"/>
    <s v="Opening Balance"/>
    <m/>
    <d v="2025-01-01T00:00:00"/>
    <m/>
    <d v="1899-12-30T00:43:57"/>
    <s v="Mini Nair"/>
    <d v="1899-12-30T00:43:57"/>
    <m/>
    <m/>
    <s v="EASNYM"/>
    <m/>
    <d v="1899-12-30T00:44:11"/>
    <s v="Yes"/>
    <s v="Opening Balance"/>
  </r>
  <r>
    <s v="V70000095361"/>
    <s v="BRTFWD"/>
    <s v="Y"/>
    <n v="-556.95000000000005"/>
    <n v="-410.14"/>
    <n v="-556.95000000000005"/>
    <s v="SGD"/>
    <x v="60"/>
    <s v="BS22000"/>
    <s v="OB"/>
    <s v="Opening Balance"/>
    <m/>
    <d v="2025-01-01T00:00:00"/>
    <m/>
    <d v="1899-12-30T00:43:57"/>
    <s v="Mini Nair"/>
    <d v="1899-12-30T00:43:57"/>
    <m/>
    <m/>
    <s v="EASOSP"/>
    <m/>
    <d v="1899-12-30T00:44:11"/>
    <s v="Yes"/>
    <s v="Opening Balance"/>
  </r>
  <r>
    <s v="V70000095372"/>
    <s v="BRTFWD"/>
    <s v="Y"/>
    <n v="72.44"/>
    <n v="44.33"/>
    <n v="72.44"/>
    <s v="SGD"/>
    <x v="60"/>
    <s v="BS22000"/>
    <s v="OB"/>
    <s v="Opening Balance"/>
    <m/>
    <d v="2025-01-01T00:00:00"/>
    <m/>
    <d v="1899-12-30T00:43:57"/>
    <s v="Mini Nair"/>
    <d v="1899-12-30T00:43:57"/>
    <m/>
    <m/>
    <s v="gemhon"/>
    <m/>
    <d v="1899-12-30T00:44:11"/>
    <s v="Yes"/>
    <s v="Opening Balance"/>
  </r>
  <r>
    <s v="V70000095373"/>
    <s v="BRTFWD"/>
    <s v="Y"/>
    <n v="-809.35"/>
    <n v="-601.87"/>
    <n v="-809.35"/>
    <s v="SGD"/>
    <x v="60"/>
    <s v="BS22000"/>
    <s v="OB"/>
    <s v="Opening Balance"/>
    <m/>
    <d v="2025-01-01T00:00:00"/>
    <m/>
    <d v="1899-12-30T00:43:57"/>
    <s v="Mini Nair"/>
    <d v="1899-12-30T00:43:57"/>
    <m/>
    <m/>
    <s v="GULLIT"/>
    <m/>
    <d v="1899-12-30T00:44:11"/>
    <s v="Yes"/>
    <s v="Opening Balance"/>
  </r>
  <r>
    <s v="V70000095378"/>
    <s v="BRTFWD"/>
    <s v="Y"/>
    <n v="-148.57"/>
    <n v="-110.3"/>
    <n v="-148.57"/>
    <s v="SGD"/>
    <x v="60"/>
    <s v="BS22000"/>
    <s v="OB"/>
    <s v="Opening Balance"/>
    <m/>
    <d v="2025-01-01T00:00:00"/>
    <m/>
    <d v="1899-12-30T00:43:57"/>
    <s v="Mini Nair"/>
    <d v="1899-12-30T00:43:57"/>
    <m/>
    <m/>
    <s v="hezhsh"/>
    <m/>
    <d v="1899-12-30T00:44:11"/>
    <s v="Yes"/>
    <s v="Opening Balance"/>
  </r>
  <r>
    <s v="V70000095380"/>
    <s v="BRTFWD"/>
    <s v="Y"/>
    <n v="-36.28"/>
    <n v="-27.08"/>
    <n v="-36.28"/>
    <s v="SGD"/>
    <x v="60"/>
    <s v="BS22000"/>
    <s v="OB"/>
    <s v="Opening Balance"/>
    <m/>
    <d v="2025-01-01T00:00:00"/>
    <m/>
    <d v="1899-12-30T00:43:57"/>
    <s v="Mini Nair"/>
    <d v="1899-12-30T00:43:57"/>
    <m/>
    <m/>
    <s v="HMEURY"/>
    <m/>
    <d v="1899-12-30T00:44:11"/>
    <s v="Yes"/>
    <s v="Opening Balance"/>
  </r>
  <r>
    <s v="V70000095384"/>
    <s v="BRTFWD"/>
    <s v="Y"/>
    <n v="1.72"/>
    <n v="1.28"/>
    <n v="1.72"/>
    <s v="SGD"/>
    <x v="60"/>
    <s v="BS22000"/>
    <s v="OB"/>
    <s v="Opening Balance"/>
    <m/>
    <d v="2025-01-01T00:00:00"/>
    <m/>
    <d v="1899-12-30T00:43:57"/>
    <s v="Mini Nair"/>
    <d v="1899-12-30T00:43:57"/>
    <m/>
    <m/>
    <s v="JBBAY"/>
    <m/>
    <d v="1899-12-30T00:44:11"/>
    <s v="Yes"/>
    <s v="Opening Balance"/>
  </r>
  <r>
    <s v="V70000095386"/>
    <s v="BRTFWD"/>
    <s v="Y"/>
    <n v="-1760.2"/>
    <n v="-1313.97"/>
    <n v="-1760.2"/>
    <s v="SGD"/>
    <x v="60"/>
    <s v="BS22000"/>
    <s v="OB"/>
    <s v="Opening Balance"/>
    <m/>
    <d v="2025-01-01T00:00:00"/>
    <m/>
    <d v="1899-12-30T00:43:57"/>
    <s v="Mini Nair"/>
    <d v="1899-12-30T00:43:57"/>
    <m/>
    <m/>
    <s v="JUPBAY"/>
    <m/>
    <d v="1899-12-30T00:44:11"/>
    <s v="Yes"/>
    <s v="Opening Balance"/>
  </r>
  <r>
    <s v="V70000095387"/>
    <s v="BRTFWD"/>
    <s v="Y"/>
    <n v="-90.81"/>
    <n v="-60.48"/>
    <n v="-90.81"/>
    <s v="SGD"/>
    <x v="60"/>
    <s v="BS22000"/>
    <s v="OB"/>
    <s v="Opening Balance"/>
    <m/>
    <d v="2025-01-01T00:00:00"/>
    <m/>
    <d v="1899-12-30T00:43:57"/>
    <s v="Mini Nair"/>
    <d v="1899-12-30T00:43:57"/>
    <m/>
    <m/>
    <s v="KAMSAR"/>
    <m/>
    <d v="1899-12-30T00:44:11"/>
    <s v="Yes"/>
    <s v="Opening Balance"/>
  </r>
  <r>
    <s v="V70000095388"/>
    <s v="BRTFWD"/>
    <s v="Y"/>
    <n v="-65"/>
    <n v="-48.52"/>
    <n v="-65"/>
    <s v="SGD"/>
    <x v="60"/>
    <s v="BS22000"/>
    <s v="OB"/>
    <s v="Opening Balance"/>
    <m/>
    <d v="2025-01-01T00:00:00"/>
    <m/>
    <d v="1899-12-30T00:43:57"/>
    <s v="Mini Nair"/>
    <d v="1899-12-30T00:43:57"/>
    <m/>
    <m/>
    <s v="KHAWRA"/>
    <m/>
    <d v="1899-12-30T00:44:11"/>
    <s v="Yes"/>
    <s v="Opening Balance"/>
  </r>
  <r>
    <s v="V70000095396"/>
    <s v="BRTFWD"/>
    <s v="Y"/>
    <n v="-1998.09"/>
    <n v="-1484.16"/>
    <n v="-1998.09"/>
    <s v="SGD"/>
    <x v="60"/>
    <s v="BS22000"/>
    <s v="OB"/>
    <s v="Opening Balance"/>
    <m/>
    <d v="2025-01-01T00:00:00"/>
    <m/>
    <d v="1899-12-30T00:43:57"/>
    <s v="Mini Nair"/>
    <d v="1899-12-30T00:43:57"/>
    <m/>
    <m/>
    <s v="LARA20"/>
    <m/>
    <d v="1899-12-30T00:44:11"/>
    <s v="Yes"/>
    <s v="Opening Balance"/>
  </r>
  <r>
    <s v="V70000095600"/>
    <s v="ROLCLR"/>
    <s v="Y"/>
    <n v="6839498.1399999997"/>
    <n v="6503356.71"/>
    <n v="6839498.1399999997"/>
    <m/>
    <x v="41"/>
    <s v="BS53000"/>
    <s v="OB"/>
    <s v="Opening Balance"/>
    <m/>
    <d v="2025-01-01T00:00:00"/>
    <m/>
    <d v="1899-12-30T00:43:57"/>
    <s v="Strachan, Iain"/>
    <d v="1899-12-30T00:44:01"/>
    <m/>
    <m/>
    <m/>
    <m/>
    <d v="1899-12-30T00:44:11"/>
    <s v="Yes"/>
    <s v="Roll and Clear - 3302000"/>
  </r>
  <r>
    <s v="V70000095608"/>
    <s v="ROLCLR"/>
    <s v="Y"/>
    <n v="-150534.42000000001"/>
    <n v="-112800"/>
    <n v="-150534.42000000001"/>
    <m/>
    <x v="41"/>
    <s v="BS53000"/>
    <s v="OB"/>
    <s v="Opening Balance"/>
    <m/>
    <d v="2025-01-01T00:00:00"/>
    <m/>
    <d v="1899-12-30T00:43:57"/>
    <s v="Mini Nair"/>
    <d v="1899-12-30T00:43:57"/>
    <m/>
    <m/>
    <s v="apcalc"/>
    <m/>
    <d v="1899-12-30T00:44:11"/>
    <s v="Yes"/>
    <s v="Roll and Clear - 3302000"/>
  </r>
  <r>
    <s v="V70000095618"/>
    <s v="ROLCLR"/>
    <s v="Y"/>
    <n v="10524.8"/>
    <n v="7955.74"/>
    <n v="10524.8"/>
    <m/>
    <x v="41"/>
    <s v="BS530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Roll and Clear - 3302000"/>
  </r>
  <r>
    <s v="V70000095621"/>
    <s v="ROLCLR"/>
    <s v="Y"/>
    <n v="-134119.76"/>
    <n v="-100500"/>
    <n v="-134119.76"/>
    <m/>
    <x v="41"/>
    <s v="BS53000"/>
    <s v="OB"/>
    <s v="Opening Balance"/>
    <m/>
    <d v="2025-01-01T00:00:00"/>
    <m/>
    <d v="1899-12-30T00:43:57"/>
    <s v="Mini Nair"/>
    <d v="1899-12-30T00:43:57"/>
    <m/>
    <m/>
    <s v="CLMONA"/>
    <m/>
    <d v="1899-12-30T00:44:11"/>
    <s v="Yes"/>
    <s v="Roll and Clear - 3302000"/>
  </r>
  <r>
    <s v="V70000095628"/>
    <s v="ROLCLR"/>
    <s v="Y"/>
    <n v="-80585.17"/>
    <n v="-59988.65"/>
    <n v="-80585.17"/>
    <m/>
    <x v="41"/>
    <s v="BS53000"/>
    <s v="OB"/>
    <s v="Opening Balance"/>
    <m/>
    <d v="2025-01-01T00:00:00"/>
    <m/>
    <d v="1899-12-30T00:43:57"/>
    <s v="Mini Nair"/>
    <d v="1899-12-30T00:43:57"/>
    <m/>
    <m/>
    <s v="EASNYM"/>
    <m/>
    <d v="1899-12-30T00:44:11"/>
    <s v="Yes"/>
    <s v="Roll and Clear - 3302000"/>
  </r>
  <r>
    <s v="V70000095630"/>
    <s v="ROLCLR"/>
    <s v="Y"/>
    <n v="-148564.07"/>
    <n v="-110161.3"/>
    <n v="-148564.07"/>
    <m/>
    <x v="41"/>
    <s v="BS53000"/>
    <s v="OB"/>
    <s v="Opening Balance"/>
    <m/>
    <d v="2025-01-01T00:00:00"/>
    <m/>
    <d v="1899-12-30T00:43:57"/>
    <s v="Mini Nair"/>
    <d v="1899-12-30T00:43:57"/>
    <m/>
    <m/>
    <s v="EASOSP"/>
    <m/>
    <d v="1899-12-30T00:44:11"/>
    <s v="Yes"/>
    <s v="Roll and Clear - 3302000"/>
  </r>
  <r>
    <s v="V70000095642"/>
    <s v="ROLCLR"/>
    <s v="Y"/>
    <n v="-72701.399999999994"/>
    <n v="-54035.32"/>
    <n v="-72701.399999999994"/>
    <m/>
    <x v="41"/>
    <s v="BS53000"/>
    <s v="OB"/>
    <s v="Opening Balance"/>
    <m/>
    <d v="2025-01-01T00:00:00"/>
    <m/>
    <d v="1899-12-30T00:43:57"/>
    <s v="Mini Nair"/>
    <d v="1899-12-30T00:43:57"/>
    <m/>
    <m/>
    <s v="HMEURY"/>
    <m/>
    <d v="1899-12-30T00:44:11"/>
    <s v="Yes"/>
    <s v="Roll and Clear - 3302000"/>
  </r>
  <r>
    <s v="V70000095646"/>
    <s v="ROLCLR"/>
    <s v="Y"/>
    <n v="-122509.39"/>
    <n v="-91800"/>
    <n v="-122509.39"/>
    <m/>
    <x v="41"/>
    <s v="BS53000"/>
    <s v="OB"/>
    <s v="Opening Balance"/>
    <m/>
    <d v="2025-01-01T00:00:00"/>
    <m/>
    <d v="1899-12-30T00:43:57"/>
    <s v="Mini Nair"/>
    <d v="1899-12-30T00:43:57"/>
    <m/>
    <m/>
    <s v="KAMSAR"/>
    <m/>
    <d v="1899-12-30T00:44:11"/>
    <s v="Yes"/>
    <s v="Roll and Clear - 3302000"/>
  </r>
  <r>
    <s v="V70000095657"/>
    <s v="ROLCLR"/>
    <s v="Y"/>
    <n v="-171594.58"/>
    <n v="-128580"/>
    <n v="-171594.58"/>
    <m/>
    <x v="41"/>
    <s v="BS53000"/>
    <s v="OB"/>
    <s v="Opening Balance"/>
    <m/>
    <d v="2025-01-01T00:00:00"/>
    <m/>
    <d v="1899-12-30T00:43:57"/>
    <s v="Mini Nair"/>
    <d v="1899-12-30T00:43:57"/>
    <m/>
    <m/>
    <s v="OCNADR"/>
    <m/>
    <d v="1899-12-30T00:44:11"/>
    <s v="Yes"/>
    <s v="Roll and Clear - 3302000"/>
  </r>
  <r>
    <s v="V70000095662"/>
    <s v="ROLCLR"/>
    <s v="Y"/>
    <n v="34895.4"/>
    <n v="26139.85"/>
    <n v="34895.4"/>
    <m/>
    <x v="41"/>
    <s v="BS530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Roll and Clear - 3302000"/>
  </r>
  <r>
    <s v="V70000095668"/>
    <s v="ROLCLR"/>
    <s v="Y"/>
    <n v="-71114.490000000005"/>
    <n v="-53622.23"/>
    <n v="-71114.490000000005"/>
    <m/>
    <x v="41"/>
    <s v="BS53000"/>
    <s v="OB"/>
    <s v="Opening Balance"/>
    <m/>
    <d v="2025-01-01T00:00:00"/>
    <m/>
    <d v="1899-12-30T00:43:57"/>
    <s v="Mini Nair"/>
    <d v="1899-12-30T00:43:57"/>
    <m/>
    <m/>
    <s v="PACIJA"/>
    <m/>
    <d v="1899-12-30T00:44:11"/>
    <s v="Yes"/>
    <s v="Roll and Clear - 3302000"/>
  </r>
  <r>
    <s v="V70000095675"/>
    <s v="ROLCLR"/>
    <s v="Y"/>
    <n v="-12906.21"/>
    <n v="-9919.35"/>
    <n v="-12906.21"/>
    <m/>
    <x v="41"/>
    <s v="BS53000"/>
    <s v="OB"/>
    <s v="Opening Balance"/>
    <m/>
    <d v="2025-01-01T00:00:00"/>
    <m/>
    <d v="1899-12-30T00:43:57"/>
    <s v="Mini Nair"/>
    <d v="1899-12-30T00:43:57"/>
    <m/>
    <m/>
    <s v="PROPAS"/>
    <m/>
    <d v="1899-12-30T00:44:11"/>
    <s v="Yes"/>
    <s v="Roll and Clear - 3302000"/>
  </r>
  <r>
    <s v="V70000095686"/>
    <s v="ROLCLR"/>
    <s v="Y"/>
    <n v="-61338.62"/>
    <n v="-45713.73"/>
    <n v="-61338.62"/>
    <m/>
    <x v="41"/>
    <s v="BS53000"/>
    <s v="OB"/>
    <s v="Opening Balance"/>
    <m/>
    <d v="2025-01-01T00:00:00"/>
    <m/>
    <d v="1899-12-30T00:43:57"/>
    <s v="Mini Nair"/>
    <d v="1899-12-30T00:43:57"/>
    <m/>
    <m/>
    <s v="SCLMER"/>
    <m/>
    <d v="1899-12-30T00:44:11"/>
    <s v="Yes"/>
    <s v="Roll and Clear - 3302000"/>
  </r>
  <r>
    <s v="V70000095691"/>
    <s v="ROLCLR"/>
    <s v="Y"/>
    <n v="-198653.52"/>
    <n v="-148999.96"/>
    <n v="-198653.52"/>
    <m/>
    <x v="41"/>
    <s v="BS53000"/>
    <s v="OB"/>
    <s v="Opening Balance"/>
    <m/>
    <d v="2025-01-01T00:00:00"/>
    <m/>
    <d v="1899-12-30T00:43:57"/>
    <s v="Mini Nair"/>
    <d v="1899-12-30T00:43:57"/>
    <m/>
    <m/>
    <s v="SINTOR"/>
    <m/>
    <d v="1899-12-30T00:44:11"/>
    <s v="Yes"/>
    <s v="Roll and Clear - 3302000"/>
  </r>
  <r>
    <s v="V70000095697"/>
    <s v="ROLCLR"/>
    <s v="Y"/>
    <n v="252023"/>
    <n v="189049.61"/>
    <n v="252023"/>
    <m/>
    <x v="41"/>
    <s v="BS530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Roll and Clear - 3302000"/>
  </r>
  <r>
    <s v="V70000095709"/>
    <s v="ROLCLR"/>
    <s v="Y"/>
    <n v="-139243.79999999999"/>
    <n v="-104414.23"/>
    <n v="-139243.79999999999"/>
    <m/>
    <x v="41"/>
    <s v="BS53000"/>
    <s v="OB"/>
    <s v="Opening Balance"/>
    <m/>
    <d v="2025-01-01T00:00:00"/>
    <m/>
    <d v="1899-12-30T00:43:57"/>
    <s v="Mini Nair"/>
    <d v="1899-12-30T00:43:57"/>
    <s v="VCORGSE0055"/>
    <s v="VPLN Viplex "/>
    <m/>
    <m/>
    <d v="1899-12-30T00:44:11"/>
    <s v="Yes"/>
    <s v="Roll and Clear - 3302000"/>
  </r>
  <r>
    <s v="V70000095710"/>
    <s v="ROLCLR"/>
    <s v="Y"/>
    <n v="-123758.37"/>
    <n v="-92804.78"/>
    <n v="-123758.37"/>
    <m/>
    <x v="41"/>
    <s v="BS53000"/>
    <s v="OB"/>
    <s v="Opening Balance"/>
    <m/>
    <d v="2025-01-01T00:00:00"/>
    <m/>
    <d v="1899-12-30T00:43:57"/>
    <s v="Mini Nair"/>
    <d v="1899-12-30T00:43:57"/>
    <s v="VCORGSE0060"/>
    <s v="VVA - Vouvray Acquisition Ltd"/>
    <m/>
    <m/>
    <d v="1899-12-30T00:44:11"/>
    <s v="Yes"/>
    <s v="Roll and Clear - 3302000"/>
  </r>
  <r>
    <s v="V70000095711"/>
    <s v="ROLCLR"/>
    <s v="Y"/>
    <n v="-292054.65000000002"/>
    <n v="-217490.24"/>
    <n v="-292054.65000000002"/>
    <m/>
    <x v="41"/>
    <s v="BS53000"/>
    <s v="OB"/>
    <s v="Opening Balance"/>
    <m/>
    <d v="2025-01-01T00:00:00"/>
    <m/>
    <d v="1899-12-30T00:43:57"/>
    <s v="Mini Nair"/>
    <d v="1899-12-30T00:43:57"/>
    <s v="VCREGSM0034"/>
    <s v="IMT Inter. Maritime Technical Services"/>
    <m/>
    <m/>
    <d v="1899-12-30T00:44:11"/>
    <s v="Yes"/>
    <s v="Roll and Clear - 3302000"/>
  </r>
  <r>
    <s v="V70000095712"/>
    <s v="ROLCLR"/>
    <s v="Y"/>
    <n v="-211442.66"/>
    <n v="-158023.09"/>
    <n v="-211442.66"/>
    <m/>
    <x v="41"/>
    <s v="BS53000"/>
    <s v="OB"/>
    <s v="Opening Balance"/>
    <m/>
    <d v="2025-01-01T00:00:00"/>
    <m/>
    <d v="1899-12-30T00:43:57"/>
    <s v="Mini Nair"/>
    <d v="1899-12-30T00:43:57"/>
    <s v="VCREGSM0041"/>
    <s v="VGP - V.Group Manpower Services"/>
    <m/>
    <m/>
    <d v="1899-12-30T00:44:11"/>
    <s v="Yes"/>
    <s v="Roll and Clear - 3302000"/>
  </r>
  <r>
    <s v="V70000095713"/>
    <s v="ROLCLR"/>
    <s v="Y"/>
    <n v="2234.9499999999998"/>
    <n v="1650"/>
    <n v="2234.9499999999998"/>
    <m/>
    <x v="41"/>
    <s v="BS53000"/>
    <s v="OB"/>
    <s v="Opening Balance"/>
    <m/>
    <d v="2025-01-01T00:00:00"/>
    <m/>
    <d v="1899-12-30T00:43:57"/>
    <s v="Mini Nair"/>
    <d v="1899-12-30T00:43:57"/>
    <s v="VCREGSM0076"/>
    <s v="IND V.SHIPS INDIA Pvt LTD"/>
    <m/>
    <m/>
    <d v="1899-12-30T00:44:11"/>
    <s v="Yes"/>
    <s v="Roll and Clear - 3302000"/>
  </r>
  <r>
    <s v="V70000095714"/>
    <s v="ROLCLR"/>
    <s v="Y"/>
    <n v="-67541.5"/>
    <n v="-51483.87"/>
    <n v="-67541.5"/>
    <m/>
    <x v="41"/>
    <s v="BS53000"/>
    <s v="OB"/>
    <s v="Opening Balance"/>
    <m/>
    <d v="2025-01-01T00:00:00"/>
    <m/>
    <d v="1899-12-30T00:43:57"/>
    <s v="Mini Nair"/>
    <d v="1899-12-30T00:43:57"/>
    <m/>
    <m/>
    <s v="VESTA"/>
    <m/>
    <d v="1899-12-30T00:44:11"/>
    <s v="Yes"/>
    <s v="Roll and Clear - 3302000"/>
  </r>
  <r>
    <s v="V70000095715"/>
    <s v="ROLCLR"/>
    <s v="Y"/>
    <n v="-351262.77"/>
    <n v="-263162.71999999997"/>
    <n v="-351262.77"/>
    <m/>
    <x v="41"/>
    <s v="BS53000"/>
    <s v="OB"/>
    <s v="Opening Balance"/>
    <m/>
    <d v="2025-01-01T00:00:00"/>
    <m/>
    <d v="1899-12-30T00:43:57"/>
    <s v="Mini Nair"/>
    <d v="1899-12-30T00:43:57"/>
    <s v="VLEIGLE0005"/>
    <s v="CAT OCL Catering Ltd (Cyprus) "/>
    <m/>
    <m/>
    <d v="1899-12-30T00:44:11"/>
    <s v="Yes"/>
    <s v="Roll and Clear - 3302000"/>
  </r>
  <r>
    <s v="V70000095716"/>
    <s v="ROLCLR"/>
    <s v="Y"/>
    <n v="30671.43"/>
    <n v="22988.29"/>
    <n v="30671.43"/>
    <m/>
    <x v="41"/>
    <s v="BS530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Roll and Clear - 3302000"/>
  </r>
  <r>
    <s v="V70000095717"/>
    <s v="ROLCLR"/>
    <s v="Y"/>
    <n v="20799.75"/>
    <n v="15588.83"/>
    <n v="20799.75"/>
    <m/>
    <x v="41"/>
    <s v="BS530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Roll and Clear - 3302000"/>
  </r>
  <r>
    <s v="V70000095718"/>
    <s v="ROLCLR"/>
    <s v="Y"/>
    <n v="610828.56000000006"/>
    <n v="457789.03"/>
    <n v="610828.56000000006"/>
    <m/>
    <x v="41"/>
    <s v="BS530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Roll and Clear - 3302000"/>
  </r>
  <r>
    <s v="V70000095719"/>
    <s v="ROLCLR"/>
    <s v="Y"/>
    <n v="2713.23"/>
    <n v="2020.57"/>
    <n v="2713.23"/>
    <m/>
    <x v="41"/>
    <s v="BS53000"/>
    <s v="OB"/>
    <s v="Opening Balance"/>
    <m/>
    <d v="2025-01-01T00:00:00"/>
    <m/>
    <d v="1899-12-30T00:43:57"/>
    <s v="Mini Nair"/>
    <d v="1899-12-30T00:43:57"/>
    <s v="VSERGLE0009"/>
    <s v="VSTN Global Marine Travel"/>
    <m/>
    <m/>
    <d v="1899-12-30T00:44:11"/>
    <s v="Yes"/>
    <s v="Roll and Clear - 3302000"/>
  </r>
  <r>
    <s v="V70000095720"/>
    <s v="ROLCLR"/>
    <s v="Y"/>
    <n v="-15221.19"/>
    <n v="-11452.21"/>
    <n v="-15221.19"/>
    <m/>
    <x v="41"/>
    <s v="BS53000"/>
    <s v="OB"/>
    <s v="Opening Balance"/>
    <m/>
    <d v="2025-01-01T00:00:00"/>
    <m/>
    <d v="1899-12-30T00:43:57"/>
    <s v="Mini Nair"/>
    <d v="1899-12-30T00:43:57"/>
    <s v="VSERGSE0041"/>
    <s v="MSD MSD Management"/>
    <m/>
    <m/>
    <d v="1899-12-30T00:44:11"/>
    <s v="Yes"/>
    <s v="Roll and Clear - 3302000"/>
  </r>
  <r>
    <s v="V70000095721"/>
    <s v="ROLCLR"/>
    <s v="Y"/>
    <n v="92466.02"/>
    <n v="69253"/>
    <n v="92466.02"/>
    <m/>
    <x v="41"/>
    <s v="BS53000"/>
    <s v="OB"/>
    <s v="Opening Balance"/>
    <m/>
    <d v="2025-01-01T00:00:00"/>
    <m/>
    <d v="1899-12-30T00:43:57"/>
    <s v="Mini Nair"/>
    <d v="1899-12-30T00:43:57"/>
    <s v="VSERGSE0052"/>
    <s v="MSTN Marine Safety &amp; Training Services (New)"/>
    <m/>
    <m/>
    <d v="1899-12-30T00:44:11"/>
    <s v="Yes"/>
    <s v="Roll and Clear - 3302000"/>
  </r>
  <r>
    <s v="V70000095722"/>
    <s v="ROLCLR"/>
    <s v="Y"/>
    <n v="-248368.96"/>
    <n v="-185681.07"/>
    <n v="-248368.96"/>
    <m/>
    <x v="41"/>
    <s v="BS53000"/>
    <s v="OB"/>
    <s v="Opening Balance"/>
    <m/>
    <d v="2025-01-01T00:00:00"/>
    <m/>
    <d v="1899-12-30T00:43:57"/>
    <s v="Mini Nair"/>
    <d v="1899-12-30T00:43:57"/>
    <s v="VSERGSE0072"/>
    <s v="GMFL - Global Marine Travel LLC"/>
    <m/>
    <m/>
    <d v="1899-12-30T00:44:11"/>
    <s v="Yes"/>
    <s v="Roll and Clear - 3302000"/>
  </r>
  <r>
    <s v="V70000095723"/>
    <s v="ROLCLR"/>
    <s v="Y"/>
    <n v="-140456.28"/>
    <n v="-105309.84"/>
    <n v="-140456.28"/>
    <m/>
    <x v="41"/>
    <s v="BS53000"/>
    <s v="OB"/>
    <s v="Opening Balance"/>
    <m/>
    <d v="2025-01-01T00:00:00"/>
    <m/>
    <d v="1899-12-30T00:43:57"/>
    <s v="Mini Nair"/>
    <d v="1899-12-30T00:43:57"/>
    <s v="VSERGSE0075"/>
    <s v="MTS - MSD Management (NEW)"/>
    <m/>
    <m/>
    <d v="1899-12-30T00:44:11"/>
    <s v="Yes"/>
    <s v="Roll and Clear - 3302000"/>
  </r>
  <r>
    <s v="V70000095724"/>
    <s v="ROLCLR"/>
    <s v="Y"/>
    <n v="-18127.8"/>
    <n v="-13500"/>
    <n v="-18127.8"/>
    <m/>
    <x v="41"/>
    <s v="BS53000"/>
    <s v="OB"/>
    <s v="Opening Balance"/>
    <m/>
    <d v="2025-01-01T00:00:00"/>
    <m/>
    <d v="1899-12-30T00:43:57"/>
    <s v="Mini Nair"/>
    <d v="1899-12-30T00:43:57"/>
    <s v="VSERGSM0046"/>
    <s v="VCY V.SHIPS LTD (CYPRUS)"/>
    <m/>
    <m/>
    <d v="1899-12-30T00:44:11"/>
    <s v="Yes"/>
    <s v="Roll and Clear - 3302000"/>
  </r>
  <r>
    <s v="V70000095725"/>
    <s v="ROLCLR"/>
    <s v="Y"/>
    <n v="-283910.84999999998"/>
    <n v="-212432.18"/>
    <n v="-283910.84999999998"/>
    <m/>
    <x v="41"/>
    <s v="BS53000"/>
    <s v="OB"/>
    <s v="Opening Balance"/>
    <m/>
    <d v="2025-01-01T00:00:00"/>
    <m/>
    <d v="1899-12-30T00:43:57"/>
    <s v="Mini Nair"/>
    <d v="1899-12-30T00:43:57"/>
    <s v="VSERGSM0047"/>
    <s v="GLW - V.Ships UK Ltd "/>
    <m/>
    <m/>
    <d v="1899-12-30T00:44:11"/>
    <s v="Yes"/>
    <s v="Roll and Clear - 3302000"/>
  </r>
  <r>
    <s v="V70000095726"/>
    <s v="ROLCLR"/>
    <s v="Y"/>
    <n v="105458.63"/>
    <n v="79631.03"/>
    <n v="105458.63"/>
    <m/>
    <x v="41"/>
    <s v="BS53000"/>
    <s v="OB"/>
    <s v="Opening Balance"/>
    <m/>
    <d v="2025-01-01T00:00:00"/>
    <m/>
    <d v="1899-12-30T00:43:57"/>
    <s v="Mini Nair"/>
    <d v="1899-12-30T00:43:57"/>
    <s v="VSERGSM0053"/>
    <s v="VSG V.SHIPS GREECE LTD"/>
    <m/>
    <m/>
    <d v="1899-12-30T00:44:11"/>
    <s v="Yes"/>
    <s v="Roll and Clear - 3302000"/>
  </r>
  <r>
    <s v="V70000095727"/>
    <s v="ROLCLR"/>
    <s v="Y"/>
    <n v="454862.05"/>
    <n v="338940"/>
    <n v="454862.05"/>
    <m/>
    <x v="41"/>
    <s v="BS53000"/>
    <s v="OB"/>
    <s v="Opening Balance"/>
    <m/>
    <d v="2025-01-01T00:00:00"/>
    <m/>
    <d v="1899-12-30T00:43:57"/>
    <s v="Mini Nair"/>
    <d v="1899-12-30T00:43:57"/>
    <s v="VSERGSM0091"/>
    <s v="VSCN V.Ships Management (India) Private Limited"/>
    <m/>
    <m/>
    <d v="1899-12-30T00:44:11"/>
    <s v="Yes"/>
    <s v="Roll and Clear - 3302000"/>
  </r>
  <r>
    <s v="V70000095728"/>
    <s v="ROLCLR"/>
    <s v="Y"/>
    <n v="3170.43"/>
    <n v="2350"/>
    <n v="3170.43"/>
    <m/>
    <x v="41"/>
    <s v="BS53000"/>
    <s v="OB"/>
    <s v="Opening Balance"/>
    <m/>
    <d v="2025-01-01T00:00:00"/>
    <m/>
    <d v="1899-12-30T00:43:57"/>
    <s v="Mini Nair"/>
    <d v="1899-12-30T00:43:57"/>
    <s v="VSERGSM0107"/>
    <s v="ITML International Tanker Management Ltd Bermuda"/>
    <m/>
    <m/>
    <d v="1899-12-30T00:44:11"/>
    <s v="Yes"/>
    <s v="Roll and Clear - 3302000"/>
  </r>
  <r>
    <s v="V70000095729"/>
    <s v="ROLCLR"/>
    <s v="Y"/>
    <n v="18099.18"/>
    <n v="13771.23"/>
    <n v="18099.18"/>
    <m/>
    <x v="41"/>
    <s v="BS53000"/>
    <s v="OB"/>
    <s v="Opening Balance"/>
    <m/>
    <d v="2025-01-01T00:00:00"/>
    <m/>
    <d v="1899-12-30T00:43:57"/>
    <s v="Mini Nair"/>
    <d v="1899-12-30T00:43:57"/>
    <s v="VSERGSM0108"/>
    <s v="ITMD International Tanker Management Ltd Dubai"/>
    <m/>
    <m/>
    <d v="1899-12-30T00:44:11"/>
    <s v="Yes"/>
    <s v="Roll and Clear - 3302000"/>
  </r>
  <r>
    <s v="V70000095730"/>
    <s v="ROLCLR"/>
    <s v="Y"/>
    <n v="-100823.8"/>
    <n v="-75217.66"/>
    <n v="-100823.8"/>
    <m/>
    <x v="41"/>
    <s v="BS53000"/>
    <s v="OB"/>
    <s v="Opening Balance"/>
    <m/>
    <d v="2025-01-01T00:00:00"/>
    <m/>
    <d v="1899-12-30T00:43:57"/>
    <s v="Mini Nair"/>
    <d v="1899-12-30T00:43:57"/>
    <s v="VSERGSM0114"/>
    <s v="SRIN Seatec World Repair Services (New)"/>
    <m/>
    <m/>
    <d v="1899-12-30T00:44:11"/>
    <s v="Yes"/>
    <s v="Roll and Clear - 3302000"/>
  </r>
  <r>
    <s v="V70000095731"/>
    <s v="ROLCLR"/>
    <s v="Y"/>
    <n v="1305341"/>
    <n v="976729.31"/>
    <n v="1305341"/>
    <m/>
    <x v="41"/>
    <s v="BS53000"/>
    <s v="OB"/>
    <s v="Opening Balance"/>
    <m/>
    <d v="2025-01-01T00:00:00"/>
    <m/>
    <d v="1899-12-30T00:43:57"/>
    <s v="Mini Nair"/>
    <d v="1899-12-30T00:43:57"/>
    <s v="VSERGSM0115"/>
    <s v="VMIN V.SHIPS MANAGEMENT (New)"/>
    <m/>
    <m/>
    <d v="1899-12-30T00:44:11"/>
    <s v="Yes"/>
    <s v="Roll and Clear - 3302000"/>
  </r>
  <r>
    <s v="V70000095732"/>
    <s v="ROLCLR"/>
    <s v="Y"/>
    <n v="-12060.33"/>
    <n v="-9152.68"/>
    <n v="-12060.33"/>
    <m/>
    <x v="41"/>
    <s v="BS53000"/>
    <s v="OB"/>
    <s v="Opening Balance"/>
    <m/>
    <d v="2025-01-01T00:00:00"/>
    <m/>
    <d v="1899-12-30T00:43:57"/>
    <s v="Mini Nair"/>
    <d v="1899-12-30T00:43:57"/>
    <s v="VSERGSM0146"/>
    <s v="SCL SeaTec China Limited"/>
    <m/>
    <m/>
    <d v="1899-12-30T00:44:11"/>
    <s v="Yes"/>
    <s v="Roll and Clear - 3302000"/>
  </r>
  <r>
    <s v="V70000095733"/>
    <s v="ROLCLR"/>
    <s v="Y"/>
    <n v="40967.089999999997"/>
    <n v="30532.5"/>
    <n v="40967.089999999997"/>
    <m/>
    <x v="41"/>
    <s v="BS53000"/>
    <s v="OB"/>
    <s v="Opening Balance"/>
    <m/>
    <d v="2025-01-01T00:00:00"/>
    <m/>
    <d v="1899-12-30T00:43:57"/>
    <s v="Mini Nair"/>
    <d v="1899-12-30T00:43:57"/>
    <s v="VSERGSM0152"/>
    <s v="VSO V.Ships Services Oceana Inc."/>
    <m/>
    <m/>
    <d v="1899-12-30T00:44:11"/>
    <s v="Yes"/>
    <s v="Roll and Clear - 3302000"/>
  </r>
  <r>
    <s v="V70000095734"/>
    <s v="ROLCLR"/>
    <s v="Y"/>
    <n v="-104117.1"/>
    <n v="-77875.740000000005"/>
    <n v="-104117.1"/>
    <m/>
    <x v="41"/>
    <s v="BS53000"/>
    <s v="OB"/>
    <s v="Opening Balance"/>
    <m/>
    <d v="2025-01-01T00:00:00"/>
    <m/>
    <d v="1899-12-30T00:43:57"/>
    <s v="Mini Nair"/>
    <d v="1899-12-30T00:43:57"/>
    <s v="VSERGSM0159"/>
    <s v="SSCM SHIP SUPPLY CHAIN MANAGEMENT BRANCH"/>
    <m/>
    <m/>
    <d v="1899-12-30T00:44:11"/>
    <s v="Yes"/>
    <s v="Roll and Clear - 3302000"/>
  </r>
  <r>
    <s v="V70000095735"/>
    <s v="ROLCLR"/>
    <s v="Y"/>
    <n v="-144889.81"/>
    <n v="-108314.36"/>
    <n v="-144889.81"/>
    <m/>
    <x v="41"/>
    <s v="BS53000"/>
    <s v="OB"/>
    <s v="Opening Balance"/>
    <m/>
    <d v="2025-01-01T00:00:00"/>
    <m/>
    <d v="1899-12-30T00:43:57"/>
    <s v="Mini Nair"/>
    <d v="1899-12-30T00:43:57"/>
    <s v="VSERGSM0174"/>
    <s v="VGGS V.GROUP GLOBAL (SINGAPORE) Pte Ltd."/>
    <m/>
    <m/>
    <d v="1899-12-30T00:44:11"/>
    <s v="Yes"/>
    <s v="Roll and Clear - 3302000"/>
  </r>
  <r>
    <s v="V70000095736"/>
    <s v="ROLCLR"/>
    <s v="Y"/>
    <n v="7112281.1299999999"/>
    <n v="5332760.8"/>
    <n v="7112281.1299999999"/>
    <m/>
    <x v="41"/>
    <s v="BS53000"/>
    <s v="OB"/>
    <s v="Opening Balance"/>
    <m/>
    <d v="2025-01-01T00:00:00"/>
    <m/>
    <d v="1899-12-30T00:43:57"/>
    <s v="Mini Nair"/>
    <d v="1899-12-30T00:43:57"/>
    <s v="VSERGSM0176"/>
    <s v="VSSL V.Ships (Shanghai) LTD"/>
    <m/>
    <m/>
    <d v="1899-12-30T00:44:11"/>
    <s v="Yes"/>
    <s v="Roll and Clear - 3302000"/>
  </r>
  <r>
    <s v="V70000095737"/>
    <s v="ROLCLR"/>
    <s v="Y"/>
    <n v="-824097.66"/>
    <n v="-615229.16"/>
    <n v="-824097.66"/>
    <m/>
    <x v="41"/>
    <s v="BS53000"/>
    <s v="OB"/>
    <s v="Opening Balance"/>
    <m/>
    <d v="2025-01-01T00:00:00"/>
    <m/>
    <d v="1899-12-30T00:43:57"/>
    <s v="Mini Nair"/>
    <d v="1899-12-30T00:43:57"/>
    <s v="VSERGSM0189"/>
    <s v="BSIN V.SHIPS OFFSHORE (ASIA) PTE. LTD."/>
    <m/>
    <m/>
    <d v="1899-12-30T00:44:11"/>
    <s v="Yes"/>
    <s v="Roll and Clear - 3302000"/>
  </r>
  <r>
    <s v="V70000095738"/>
    <s v="ROLCLR"/>
    <s v="Y"/>
    <n v="947.55"/>
    <n v="705.65"/>
    <n v="947.55"/>
    <m/>
    <x v="41"/>
    <s v="BS53000"/>
    <s v="OB"/>
    <s v="Opening Balance"/>
    <m/>
    <d v="2025-01-01T00:00:00"/>
    <m/>
    <d v="1899-12-30T00:43:57"/>
    <s v="Mini Nair"/>
    <d v="1899-12-30T00:43:57"/>
    <s v="VSERGSM0205"/>
    <s v="SMSG SELANDIA SHIP MANAGEMENT (SINGAPORE) PTE LTD"/>
    <m/>
    <m/>
    <d v="1899-12-30T00:44:11"/>
    <s v="Yes"/>
    <s v="Roll and Clear - 3302000"/>
  </r>
  <r>
    <s v="V70000095739"/>
    <s v="ROLCLR"/>
    <s v="Y"/>
    <n v="192756.61"/>
    <n v="143335"/>
    <n v="192756.61"/>
    <m/>
    <x v="41"/>
    <s v="BS53000"/>
    <s v="OB"/>
    <s v="Opening Balance"/>
    <m/>
    <d v="2025-01-01T00:00:00"/>
    <m/>
    <d v="1899-12-30T00:43:57"/>
    <s v="Mini Nair"/>
    <d v="1899-12-30T00:43:57"/>
    <s v="VSERGSM0206"/>
    <s v="SMIN SELANDIA SHIPMANAGEMENT (INDIA) PVT LTD"/>
    <m/>
    <m/>
    <d v="1899-12-30T00:44:11"/>
    <s v="Yes"/>
    <s v="Roll and Clear - 3302000"/>
  </r>
  <r>
    <s v="V70000095740"/>
    <s v="ROLCLR"/>
    <s v="Y"/>
    <n v="-244517.44"/>
    <n v="-183790.85"/>
    <n v="-244517.44"/>
    <m/>
    <x v="41"/>
    <s v="BS53000"/>
    <s v="OB"/>
    <s v="Opening Balance"/>
    <m/>
    <d v="2025-01-01T00:00:00"/>
    <m/>
    <d v="1899-12-30T00:43:57"/>
    <s v="Mini Nair"/>
    <d v="1899-12-30T00:43:57"/>
    <s v="VSERGSM0218"/>
    <s v="UMCR - SEATEC EU AND GLOBAL"/>
    <m/>
    <m/>
    <d v="1899-12-30T00:44:11"/>
    <s v="Yes"/>
    <s v="Roll and Clear - 3302000"/>
  </r>
  <r>
    <s v="V70000095741"/>
    <s v="ROLCLR"/>
    <s v="Y"/>
    <n v="0"/>
    <n v="0"/>
    <n v="0"/>
    <m/>
    <x v="41"/>
    <s v="BS53000"/>
    <s v="OB"/>
    <s v="Opening Balance"/>
    <m/>
    <d v="2025-01-01T00:00:00"/>
    <m/>
    <d v="1899-12-30T00:43:57"/>
    <s v="Mini Nair"/>
    <d v="1899-12-30T00:43:57"/>
    <s v="VSERGSM0241"/>
    <s v="CREWING VS CHENNAI"/>
    <m/>
    <m/>
    <d v="1899-12-30T00:44:11"/>
    <s v="Yes"/>
    <s v="Roll and Clear - 3302000"/>
  </r>
  <r>
    <s v="V70000095742"/>
    <s v="ROLCLR"/>
    <s v="Y"/>
    <n v="-101922.54"/>
    <n v="-76247.289999999994"/>
    <n v="-101922.54"/>
    <m/>
    <x v="41"/>
    <s v="BS53000"/>
    <s v="OB"/>
    <s v="Opening Balance"/>
    <m/>
    <d v="2025-01-01T00:00:00"/>
    <m/>
    <d v="1899-12-30T00:43:57"/>
    <s v="Mini Nair"/>
    <d v="1899-12-30T00:43:57"/>
    <s v="VSERGSM0249"/>
    <s v="CBM Seatec Condition Monitoring"/>
    <m/>
    <m/>
    <d v="1899-12-30T00:44:11"/>
    <s v="Yes"/>
    <s v="Roll and Clear - 3302000"/>
  </r>
  <r>
    <s v="V70000095743"/>
    <s v="ROLCLR"/>
    <s v="Y"/>
    <n v="92354.2"/>
    <n v="68821.990000000005"/>
    <n v="92354.2"/>
    <m/>
    <x v="41"/>
    <s v="BS53000"/>
    <s v="OB"/>
    <s v="Opening Balance"/>
    <m/>
    <d v="2025-01-01T00:00:00"/>
    <m/>
    <d v="1899-12-30T00:43:57"/>
    <s v="Mini Nair"/>
    <d v="1899-12-30T00:43:57"/>
    <s v="VSERGSM0257"/>
    <s v="VPSS IT INFRASTRUCTURE"/>
    <m/>
    <m/>
    <d v="1899-12-30T00:44:11"/>
    <s v="Yes"/>
    <s v="Roll and Clear - 3302000"/>
  </r>
  <r>
    <s v="V70000095744"/>
    <s v="ROLCLR"/>
    <s v="Y"/>
    <n v="-500063.27"/>
    <n v="-374770.21"/>
    <n v="-500063.27"/>
    <m/>
    <x v="41"/>
    <s v="BS53000"/>
    <s v="OB"/>
    <s v="Opening Balance"/>
    <m/>
    <d v="2025-01-01T00:00:00"/>
    <m/>
    <d v="1899-12-30T00:43:57"/>
    <s v="Mini Nair"/>
    <d v="1899-12-30T00:43:57"/>
    <s v="VSERGSM0277"/>
    <s v="Belships Management (Singapore) Pte Ltd"/>
    <m/>
    <m/>
    <d v="1899-12-30T00:44:11"/>
    <s v="Yes"/>
    <s v="Roll and Clear - 3302000"/>
  </r>
  <r>
    <s v="V70000095745"/>
    <s v="ROLCLR"/>
    <s v="Y"/>
    <n v="1484377.03"/>
    <n v="1111174.95"/>
    <n v="1484377.03"/>
    <m/>
    <x v="41"/>
    <s v="BS53000"/>
    <s v="OB"/>
    <s v="Opening Balance"/>
    <m/>
    <d v="2025-01-01T00:00:00"/>
    <m/>
    <d v="1899-12-30T00:43:57"/>
    <s v="Mini Nair"/>
    <d v="1899-12-30T00:43:57"/>
    <s v="VSERGSM0283"/>
    <s v="CHEN -V SHIPS SHIP MANAGEMENT INDIA PRIVATE LTD"/>
    <m/>
    <m/>
    <d v="1899-12-30T00:44:11"/>
    <s v="Yes"/>
    <s v="Roll and Clear - 3302000"/>
  </r>
  <r>
    <s v="V70000095749"/>
    <s v="ROLCLR"/>
    <s v="Y"/>
    <n v="-24477.21"/>
    <n v="-18386.21"/>
    <n v="-24477.21"/>
    <m/>
    <x v="41"/>
    <s v="BS53000"/>
    <s v="OB"/>
    <s v="Opening Balance"/>
    <m/>
    <d v="2025-01-01T00:00:00"/>
    <m/>
    <d v="1899-12-30T00:43:57"/>
    <s v="Mini Nair"/>
    <d v="1899-12-30T00:43:57"/>
    <m/>
    <m/>
    <s v="ZEUONE"/>
    <m/>
    <d v="1899-12-30T00:44:11"/>
    <s v="Yes"/>
    <s v="Roll and Clear - 3302000"/>
  </r>
  <r>
    <s v="V70000095751"/>
    <s v="OBTFER"/>
    <s v="Y"/>
    <n v="-9206"/>
    <n v="-6951.07"/>
    <n v="-9206"/>
    <s v="SGD"/>
    <x v="25"/>
    <s v="BS10130"/>
    <s v="OJ"/>
    <s v="Opening Balance Transfer"/>
    <m/>
    <d v="2025-01-01T00:00:00"/>
    <m/>
    <d v="1899-12-30T00:43:57"/>
    <s v="Mini Nair"/>
    <d v="1899-12-30T00:43:57"/>
    <m/>
    <m/>
    <m/>
    <m/>
    <d v="1899-12-30T00:59:19"/>
    <s v="Yes"/>
    <s v="TRANSFER TO 1100200"/>
  </r>
  <r>
    <s v="V70000095549"/>
    <s v="BRTFWD"/>
    <s v="Y"/>
    <n v="-1629459.63"/>
    <n v="-1199720"/>
    <n v="-1629459.63"/>
    <s v="USD"/>
    <x v="49"/>
    <s v="BS3321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64"/>
    <s v="BRTFWD"/>
    <s v="Y"/>
    <n v="-49302.66"/>
    <n v="-36300"/>
    <n v="-49302.66"/>
    <s v="USD"/>
    <x v="49"/>
    <s v="BS33210"/>
    <s v="OB"/>
    <s v="Opening Balance"/>
    <m/>
    <d v="2025-01-01T00:00:00"/>
    <m/>
    <d v="1899-12-30T00:43:57"/>
    <s v="Mini Nair"/>
    <d v="1899-12-30T00:43:57"/>
    <m/>
    <m/>
    <s v="TOPMAR"/>
    <m/>
    <d v="1899-12-30T00:44:11"/>
    <s v="Yes"/>
    <s v="Opening Balance"/>
  </r>
  <r>
    <s v="V70000095556"/>
    <s v="BRTFWD"/>
    <s v="Y"/>
    <n v="-40746"/>
    <n v="-30000"/>
    <n v="-40746"/>
    <s v="USD"/>
    <x v="49"/>
    <s v="BS33210"/>
    <s v="OB"/>
    <s v="Opening Balance"/>
    <m/>
    <d v="2025-01-01T00:00:00"/>
    <m/>
    <d v="1899-12-30T00:43:57"/>
    <s v="Mini Nair"/>
    <d v="1899-12-30T00:43:57"/>
    <m/>
    <m/>
    <s v="CLBAYA"/>
    <m/>
    <d v="1899-12-30T00:44:11"/>
    <s v="Yes"/>
    <s v="Opening Balance"/>
  </r>
  <r>
    <s v="V70000095563"/>
    <s v="BRTFWD"/>
    <s v="Y"/>
    <n v="67910"/>
    <n v="50000"/>
    <n v="67910"/>
    <s v="USD"/>
    <x v="49"/>
    <s v="BS33210"/>
    <s v="OB"/>
    <s v="Opening Balance"/>
    <m/>
    <d v="2025-01-01T00:00:00"/>
    <m/>
    <d v="1899-12-30T00:43:57"/>
    <s v="Mini Nair"/>
    <d v="1899-12-30T00:43:57"/>
    <m/>
    <m/>
    <s v="PARADW"/>
    <m/>
    <d v="1899-12-30T00:44:11"/>
    <s v="Yes"/>
    <s v="Opening Balance"/>
  </r>
  <r>
    <s v="V70000095551"/>
    <s v="BRTFWD"/>
    <s v="Y"/>
    <n v="-67910"/>
    <n v="-50000"/>
    <n v="-67910"/>
    <s v="USD"/>
    <x v="49"/>
    <s v="BS33210"/>
    <s v="OB"/>
    <s v="Opening Balance"/>
    <m/>
    <d v="2025-01-01T00:00:00"/>
    <m/>
    <d v="1899-12-30T00:43:57"/>
    <s v="Mini Nair"/>
    <d v="1899-12-30T00:43:57"/>
    <m/>
    <m/>
    <s v="ANAELA"/>
    <m/>
    <d v="1899-12-30T00:44:11"/>
    <s v="Yes"/>
    <s v="Opening Balance"/>
  </r>
  <r>
    <s v="V70000095558"/>
    <s v="BRTFWD"/>
    <s v="Y"/>
    <n v="67910"/>
    <n v="50000"/>
    <n v="67910"/>
    <s v="USD"/>
    <x v="49"/>
    <s v="BS33210"/>
    <s v="OB"/>
    <s v="Opening Balance"/>
    <m/>
    <d v="2025-01-01T00:00:00"/>
    <m/>
    <d v="1899-12-30T00:43:57"/>
    <s v="Mini Nair"/>
    <d v="1899-12-30T00:43:57"/>
    <m/>
    <m/>
    <s v="DARYAM"/>
    <m/>
    <d v="1899-12-30T00:44:11"/>
    <s v="Yes"/>
    <s v="Opening Balance"/>
  </r>
  <r>
    <s v="V70000095561"/>
    <s v="BRTFWD"/>
    <s v="Y"/>
    <n v="-40746"/>
    <n v="-30000"/>
    <n v="-40746"/>
    <s v="USD"/>
    <x v="49"/>
    <s v="BS33210"/>
    <s v="OB"/>
    <s v="Opening Balance"/>
    <m/>
    <d v="2025-01-01T00:00:00"/>
    <m/>
    <d v="1899-12-30T00:43:57"/>
    <s v="Mini Nair"/>
    <d v="1899-12-30T00:43:57"/>
    <m/>
    <m/>
    <s v="MGFIR"/>
    <m/>
    <d v="1899-12-30T00:44:11"/>
    <s v="Yes"/>
    <s v="Opening Balance"/>
  </r>
  <r>
    <s v="V70000095604"/>
    <s v="ROLCLR"/>
    <s v="Y"/>
    <n v="-231836.03"/>
    <n v="-173364.72"/>
    <n v="-231836.03"/>
    <m/>
    <x v="41"/>
    <s v="BS53000"/>
    <s v="OB"/>
    <s v="Opening Balance"/>
    <m/>
    <d v="2025-01-01T00:00:00"/>
    <m/>
    <d v="1899-12-30T00:43:57"/>
    <s v="Mini Nair"/>
    <d v="1899-12-30T00:43:57"/>
    <m/>
    <m/>
    <s v="ALEDRI"/>
    <m/>
    <d v="1899-12-30T00:44:11"/>
    <s v="Yes"/>
    <s v="Roll and Clear - 3302000"/>
  </r>
  <r>
    <s v="V70000095605"/>
    <s v="ROLCLR"/>
    <s v="Y"/>
    <n v="-192484.22"/>
    <n v="-144248.18"/>
    <n v="-192484.22"/>
    <m/>
    <x v="41"/>
    <s v="BS53000"/>
    <s v="OB"/>
    <s v="Opening Balance"/>
    <m/>
    <d v="2025-01-01T00:00:00"/>
    <m/>
    <d v="1899-12-30T00:43:57"/>
    <s v="Mini Nair"/>
    <d v="1899-12-30T00:43:57"/>
    <m/>
    <m/>
    <s v="ALISIO"/>
    <m/>
    <d v="1899-12-30T00:44:11"/>
    <s v="Yes"/>
    <s v="Roll and Clear - 3302000"/>
  </r>
  <r>
    <s v="V70000095633"/>
    <s v="ROLCLR"/>
    <s v="Y"/>
    <n v="-169445.24"/>
    <n v="-126666.7"/>
    <n v="-169445.24"/>
    <m/>
    <x v="41"/>
    <s v="BS53000"/>
    <s v="OB"/>
    <s v="Opening Balance"/>
    <m/>
    <d v="2025-01-01T00:00:00"/>
    <m/>
    <d v="1899-12-30T00:43:57"/>
    <s v="Mini Nair"/>
    <d v="1899-12-30T00:43:57"/>
    <m/>
    <m/>
    <s v="FAIRWI"/>
    <m/>
    <d v="1899-12-30T00:44:11"/>
    <s v="Yes"/>
    <s v="Roll and Clear - 3302000"/>
  </r>
  <r>
    <s v="V70000095636"/>
    <s v="ROLCLR"/>
    <s v="Y"/>
    <n v="-148669.69"/>
    <n v="-111424.76"/>
    <n v="-148669.69"/>
    <m/>
    <x v="41"/>
    <s v="BS53000"/>
    <s v="OB"/>
    <s v="Opening Balance"/>
    <m/>
    <d v="2025-01-01T00:00:00"/>
    <m/>
    <d v="1899-12-30T00:43:57"/>
    <s v="Mini Nair"/>
    <d v="1899-12-30T00:43:57"/>
    <m/>
    <m/>
    <s v="FGEUCA"/>
    <m/>
    <d v="1899-12-30T00:44:11"/>
    <s v="Yes"/>
    <s v="Roll and Clear - 3302000"/>
  </r>
  <r>
    <s v="V70000095664"/>
    <s v="ROLCLR"/>
    <s v="Y"/>
    <n v="-150534.42000000001"/>
    <n v="-112800"/>
    <n v="-150534.42000000001"/>
    <m/>
    <x v="41"/>
    <s v="BS53000"/>
    <s v="OB"/>
    <s v="Opening Balance"/>
    <m/>
    <d v="2025-01-01T00:00:00"/>
    <m/>
    <d v="1899-12-30T00:43:57"/>
    <s v="Mini Nair"/>
    <d v="1899-12-30T00:43:57"/>
    <m/>
    <m/>
    <s v="pacach"/>
    <m/>
    <d v="1899-12-30T00:44:11"/>
    <s v="Yes"/>
    <s v="Roll and Clear - 3302000"/>
  </r>
  <r>
    <s v="V70000095669"/>
    <s v="ROLCLR"/>
    <s v="Y"/>
    <n v="-79286.87"/>
    <n v="-59688.9"/>
    <n v="-79286.87"/>
    <m/>
    <x v="41"/>
    <s v="BS53000"/>
    <s v="OB"/>
    <s v="Opening Balance"/>
    <m/>
    <d v="2025-01-01T00:00:00"/>
    <m/>
    <d v="1899-12-30T00:43:57"/>
    <s v="Mini Nair"/>
    <d v="1899-12-30T00:43:57"/>
    <m/>
    <m/>
    <s v="PACILI"/>
    <m/>
    <d v="1899-12-30T00:44:11"/>
    <s v="Yes"/>
    <s v="Roll and Clear - 3302000"/>
  </r>
  <r>
    <s v="V70000095678"/>
    <s v="ROLCLR"/>
    <s v="Y"/>
    <n v="-120107.25"/>
    <n v="-90000"/>
    <n v="-120107.25"/>
    <m/>
    <x v="41"/>
    <s v="BS53000"/>
    <s v="OB"/>
    <s v="Opening Balance"/>
    <m/>
    <d v="2025-01-01T00:00:00"/>
    <m/>
    <d v="1899-12-30T00:43:57"/>
    <s v="Mini Nair"/>
    <d v="1899-12-30T00:43:57"/>
    <m/>
    <m/>
    <s v="PROSUC"/>
    <m/>
    <d v="1899-12-30T00:44:11"/>
    <s v="Yes"/>
    <s v="Roll and Clear - 3302000"/>
  </r>
  <r>
    <s v="V70000095679"/>
    <s v="ROLCLR"/>
    <s v="Y"/>
    <n v="-67289.62"/>
    <n v="-51096.77"/>
    <n v="-67289.62"/>
    <m/>
    <x v="41"/>
    <s v="BS53000"/>
    <s v="OB"/>
    <s v="Opening Balance"/>
    <m/>
    <d v="2025-01-01T00:00:00"/>
    <m/>
    <d v="1899-12-30T00:43:57"/>
    <s v="Mini Nair"/>
    <d v="1899-12-30T00:43:57"/>
    <m/>
    <m/>
    <s v="QUEDOR"/>
    <m/>
    <d v="1899-12-30T00:44:11"/>
    <s v="Yes"/>
    <s v="Roll and Clear - 3302000"/>
  </r>
  <r>
    <s v="V70000095689"/>
    <s v="ROLCLR"/>
    <s v="Y"/>
    <n v="-286552.58"/>
    <n v="-216581.74"/>
    <n v="-286552.58"/>
    <m/>
    <x v="41"/>
    <s v="BS53000"/>
    <s v="OB"/>
    <s v="Opening Balance"/>
    <m/>
    <d v="2025-01-01T00:00:00"/>
    <m/>
    <d v="1899-12-30T00:43:57"/>
    <s v="Mini Nair"/>
    <d v="1899-12-30T00:43:57"/>
    <m/>
    <m/>
    <s v="SINTER"/>
    <m/>
    <d v="1899-12-30T00:44:11"/>
    <s v="Yes"/>
    <s v="Roll and Clear - 3302000"/>
  </r>
  <r>
    <s v="V70000095693"/>
    <s v="ROLCLR"/>
    <s v="Y"/>
    <n v="-84354.96"/>
    <n v="-63500"/>
    <n v="-84354.96"/>
    <m/>
    <x v="41"/>
    <s v="BS53000"/>
    <s v="OB"/>
    <s v="Opening Balance"/>
    <m/>
    <d v="2025-01-01T00:00:00"/>
    <m/>
    <d v="1899-12-30T00:43:57"/>
    <s v="Mini Nair"/>
    <d v="1899-12-30T00:43:57"/>
    <m/>
    <m/>
    <s v="SONGFA"/>
    <m/>
    <d v="1899-12-30T00:44:11"/>
    <s v="Yes"/>
    <s v="Roll and Clear - 3302000"/>
  </r>
  <r>
    <s v="V70000095702"/>
    <s v="ROLCLR"/>
    <s v="Y"/>
    <n v="-97882.53"/>
    <n v="-73333.33"/>
    <n v="-97882.53"/>
    <m/>
    <x v="41"/>
    <s v="BS53000"/>
    <s v="OB"/>
    <s v="Opening Balance"/>
    <m/>
    <d v="2025-01-01T00:00:00"/>
    <m/>
    <d v="1899-12-30T00:43:57"/>
    <s v="Mini Nair"/>
    <d v="1899-12-30T00:43:57"/>
    <m/>
    <m/>
    <s v="TSKEEL"/>
    <m/>
    <d v="1899-12-30T00:44:11"/>
    <s v="Yes"/>
    <s v="Roll and Clear - 3302000"/>
  </r>
  <r>
    <s v="V70000095706"/>
    <s v="ROLCLR"/>
    <s v="Y"/>
    <n v="-103552.61"/>
    <n v="-77548.38"/>
    <n v="-103552.61"/>
    <m/>
    <x v="41"/>
    <s v="BS53000"/>
    <s v="OB"/>
    <s v="Opening Balance"/>
    <m/>
    <d v="2025-01-01T00:00:00"/>
    <m/>
    <d v="1899-12-30T00:43:57"/>
    <s v="Mini Nair"/>
    <d v="1899-12-30T00:43:57"/>
    <m/>
    <m/>
    <s v="TSSHAN"/>
    <m/>
    <d v="1899-12-30T00:44:11"/>
    <s v="Yes"/>
    <s v="Roll and Clear - 3302000"/>
  </r>
  <r>
    <s v="V70000095313"/>
    <s v="BRTFWD"/>
    <s v="Y"/>
    <n v="-497.24"/>
    <n v="-347.42"/>
    <n v="-497.24"/>
    <s v="SGD"/>
    <x v="60"/>
    <s v="BS22000"/>
    <s v="OB"/>
    <s v="Opening Balance"/>
    <m/>
    <d v="2025-01-01T00:00:00"/>
    <m/>
    <d v="1899-12-30T00:43:57"/>
    <s v="Mini Nair"/>
    <d v="1899-12-30T00:43:57"/>
    <m/>
    <m/>
    <s v="AFRGAS"/>
    <m/>
    <d v="1899-12-30T00:44:11"/>
    <s v="Yes"/>
    <s v="Opening Balance"/>
  </r>
  <r>
    <s v="V70000095324"/>
    <s v="BRTFWD"/>
    <s v="Y"/>
    <n v="598.04"/>
    <n v="446.43"/>
    <n v="598.04"/>
    <s v="SGD"/>
    <x v="60"/>
    <s v="BS22000"/>
    <s v="OB"/>
    <s v="Opening Balance"/>
    <m/>
    <d v="2025-01-01T00:00:00"/>
    <m/>
    <d v="1899-12-30T00:43:57"/>
    <s v="Mini Nair"/>
    <d v="1899-12-30T00:43:57"/>
    <m/>
    <m/>
    <s v="ATLMON"/>
    <m/>
    <d v="1899-12-30T00:44:11"/>
    <s v="Yes"/>
    <s v="Opening Balance"/>
  </r>
  <r>
    <s v="V70000095352"/>
    <s v="BRTFWD"/>
    <s v="Y"/>
    <n v="589.66999999999996"/>
    <n v="439.89"/>
    <n v="589.66999999999996"/>
    <s v="SGD"/>
    <x v="60"/>
    <s v="BS22000"/>
    <s v="OB"/>
    <s v="Opening Balance"/>
    <m/>
    <d v="2025-01-01T00:00:00"/>
    <m/>
    <d v="1899-12-30T00:43:57"/>
    <s v="Mini Nair"/>
    <d v="1899-12-30T00:43:57"/>
    <m/>
    <m/>
    <s v="DESA"/>
    <m/>
    <d v="1899-12-30T00:44:11"/>
    <s v="Yes"/>
    <s v="Opening Balance"/>
  </r>
  <r>
    <s v="V70000095354"/>
    <s v="BRTFWD"/>
    <s v="Y"/>
    <n v="-619.01"/>
    <n v="-456.42"/>
    <n v="-619.01"/>
    <s v="SGD"/>
    <x v="60"/>
    <s v="BS22000"/>
    <s v="OB"/>
    <s v="Opening Balance"/>
    <m/>
    <d v="2025-01-01T00:00:00"/>
    <m/>
    <d v="1899-12-30T00:43:57"/>
    <s v="Mini Nair"/>
    <d v="1899-12-30T00:43:57"/>
    <m/>
    <m/>
    <s v="EASFAL"/>
    <m/>
    <d v="1899-12-30T00:44:11"/>
    <s v="Yes"/>
    <s v="Opening Balance"/>
  </r>
  <r>
    <s v="V70000095362"/>
    <s v="BRTFWD"/>
    <s v="Y"/>
    <n v="-547.92999999999995"/>
    <n v="-402.28"/>
    <n v="-547.92999999999995"/>
    <s v="SGD"/>
    <x v="60"/>
    <s v="BS22000"/>
    <s v="OB"/>
    <s v="Opening Balance"/>
    <m/>
    <d v="2025-01-01T00:00:00"/>
    <m/>
    <d v="1899-12-30T00:43:57"/>
    <s v="Mini Nair"/>
    <d v="1899-12-30T00:43:57"/>
    <m/>
    <m/>
    <s v="EASPET"/>
    <m/>
    <d v="1899-12-30T00:44:11"/>
    <s v="Yes"/>
    <s v="Opening Balance"/>
  </r>
  <r>
    <s v="V70000095364"/>
    <s v="BRTFWD"/>
    <s v="Y"/>
    <n v="-1798.13"/>
    <n v="-1342.29"/>
    <n v="-1798.13"/>
    <s v="SGD"/>
    <x v="60"/>
    <s v="BS22000"/>
    <s v="OB"/>
    <s v="Opening Balance"/>
    <m/>
    <d v="2025-01-01T00:00:00"/>
    <m/>
    <d v="1899-12-30T00:43:57"/>
    <s v="Mini Nair"/>
    <d v="1899-12-30T00:43:57"/>
    <m/>
    <m/>
    <s v="EDEBAY"/>
    <m/>
    <d v="1899-12-30T00:44:11"/>
    <s v="Yes"/>
    <s v="Opening Balance"/>
  </r>
  <r>
    <s v="V70000095367"/>
    <s v="BRTFWD"/>
    <s v="Y"/>
    <n v="-5741.14"/>
    <n v="-4145.3999999999996"/>
    <n v="-5741.14"/>
    <s v="SGD"/>
    <x v="60"/>
    <s v="BS22000"/>
    <s v="OB"/>
    <s v="Opening Balance"/>
    <m/>
    <d v="2025-01-01T00:00:00"/>
    <m/>
    <d v="1899-12-30T00:43:57"/>
    <s v="Mini Nair"/>
    <d v="1899-12-30T00:43:57"/>
    <m/>
    <m/>
    <s v="FAIRSK"/>
    <m/>
    <d v="1899-12-30T00:44:11"/>
    <s v="Yes"/>
    <s v="Opening Balance"/>
  </r>
  <r>
    <s v="V70000095381"/>
    <s v="BRTFWD"/>
    <s v="Y"/>
    <n v="-554.04"/>
    <n v="-483.11"/>
    <n v="-554.04"/>
    <s v="SGD"/>
    <x v="60"/>
    <s v="BS22000"/>
    <s v="OB"/>
    <s v="Opening Balance"/>
    <m/>
    <d v="2025-01-01T00:00:00"/>
    <m/>
    <d v="1899-12-30T00:43:57"/>
    <s v="Mini Nair"/>
    <d v="1899-12-30T00:43:57"/>
    <m/>
    <m/>
    <s v="HOEBRA"/>
    <m/>
    <d v="1899-12-30T00:44:11"/>
    <s v="Yes"/>
    <s v="Opening Balance"/>
  </r>
  <r>
    <s v="V70000095394"/>
    <s v="BRTFWD"/>
    <s v="Y"/>
    <n v="-142.1"/>
    <n v="-106.08"/>
    <n v="-142.1"/>
    <s v="SGD"/>
    <x v="60"/>
    <s v="BS22000"/>
    <s v="OB"/>
    <s v="Opening Balance"/>
    <m/>
    <d v="2025-01-01T00:00:00"/>
    <m/>
    <d v="1899-12-30T00:43:57"/>
    <s v="Mini Nair"/>
    <d v="1899-12-30T00:43:57"/>
    <m/>
    <m/>
    <s v="KYBAY"/>
    <m/>
    <d v="1899-12-30T00:44:11"/>
    <s v="Yes"/>
    <s v="Opening Balance"/>
  </r>
  <r>
    <s v="V70000095400"/>
    <s v="BRTFWD"/>
    <s v="Y"/>
    <n v="-19.13"/>
    <n v="-14.28"/>
    <n v="-19.13"/>
    <s v="SGD"/>
    <x v="60"/>
    <s v="BS22000"/>
    <s v="OB"/>
    <s v="Opening Balance"/>
    <m/>
    <d v="2025-01-01T00:00:00"/>
    <m/>
    <d v="1899-12-30T00:43:57"/>
    <s v="Mini Nair"/>
    <d v="1899-12-30T00:43:57"/>
    <m/>
    <m/>
    <s v="LINKWO"/>
    <m/>
    <d v="1899-12-30T00:44:11"/>
    <s v="Yes"/>
    <s v="Opening Balance"/>
  </r>
  <r>
    <s v="V70000095402"/>
    <s v="BRTFWD"/>
    <s v="Y"/>
    <n v="25.58"/>
    <n v="19.100000000000001"/>
    <n v="25.58"/>
    <s v="SGD"/>
    <x v="60"/>
    <s v="BS22000"/>
    <s v="OB"/>
    <s v="Opening Balance"/>
    <m/>
    <d v="2025-01-01T00:00:00"/>
    <m/>
    <d v="1899-12-30T00:43:57"/>
    <s v="Mini Nair"/>
    <d v="1899-12-30T00:43:57"/>
    <m/>
    <m/>
    <s v="MLHERO"/>
    <m/>
    <d v="1899-12-30T00:44:11"/>
    <s v="Yes"/>
    <s v="Opening Balance"/>
  </r>
  <r>
    <s v="V70000095409"/>
    <s v="BRTFWD"/>
    <s v="Y"/>
    <n v="-5091.6400000000003"/>
    <n v="-3798.73"/>
    <n v="-5091.6400000000003"/>
    <s v="SGD"/>
    <x v="60"/>
    <s v="BS22000"/>
    <s v="OB"/>
    <s v="Opening Balance"/>
    <m/>
    <d v="2025-01-01T00:00:00"/>
    <m/>
    <d v="1899-12-30T00:43:57"/>
    <s v="Mini Nair"/>
    <d v="1899-12-30T00:43:57"/>
    <m/>
    <m/>
    <s v="OCEADY"/>
    <m/>
    <d v="1899-12-30T00:44:11"/>
    <s v="Yes"/>
    <s v="Opening Balance"/>
  </r>
  <r>
    <s v="V70000095412"/>
    <s v="BRTFWD"/>
    <s v="Y"/>
    <n v="-5.24"/>
    <n v="-3.91"/>
    <n v="-5.24"/>
    <s v="SGD"/>
    <x v="60"/>
    <s v="BS22000"/>
    <s v="OB"/>
    <s v="Opening Balance"/>
    <m/>
    <d v="2025-01-01T00:00:00"/>
    <m/>
    <d v="1899-12-30T00:43:57"/>
    <s v="Mini Nair"/>
    <d v="1899-12-30T00:43:57"/>
    <m/>
    <m/>
    <s v="OCEASS"/>
    <m/>
    <d v="1899-12-30T00:44:11"/>
    <s v="Yes"/>
    <s v="Opening Balance"/>
  </r>
  <r>
    <s v="V70000095416"/>
    <s v="BRTFWD"/>
    <s v="Y"/>
    <n v="-91.33"/>
    <n v="-80.98"/>
    <n v="-91.33"/>
    <s v="SGD"/>
    <x v="60"/>
    <s v="BS22000"/>
    <s v="OB"/>
    <s v="Opening Balance"/>
    <m/>
    <d v="2025-01-01T00:00:00"/>
    <m/>
    <d v="1899-12-30T00:43:57"/>
    <s v="Mini Nair"/>
    <d v="1899-12-30T00:43:57"/>
    <m/>
    <m/>
    <s v="OCEOUT"/>
    <m/>
    <d v="1899-12-30T00:44:11"/>
    <s v="Yes"/>
    <s v="Opening Balance"/>
  </r>
  <r>
    <s v="V70000095418"/>
    <s v="BRTFWD"/>
    <s v="Y"/>
    <n v="-191.68"/>
    <n v="-143.09"/>
    <n v="-191.68"/>
    <s v="SGD"/>
    <x v="60"/>
    <s v="BS22000"/>
    <s v="OB"/>
    <s v="Opening Balance"/>
    <m/>
    <d v="2025-01-01T00:00:00"/>
    <m/>
    <d v="1899-12-30T00:43:57"/>
    <s v="Mini Nair"/>
    <d v="1899-12-30T00:43:57"/>
    <m/>
    <m/>
    <s v="OCEPRO"/>
    <m/>
    <d v="1899-12-30T00:44:11"/>
    <s v="Yes"/>
    <s v="Opening Balance"/>
  </r>
  <r>
    <s v="V70000095421"/>
    <s v="BRTFWD"/>
    <s v="Y"/>
    <n v="-3346"/>
    <n v="-2497.7600000000002"/>
    <n v="-3346"/>
    <s v="SGD"/>
    <x v="60"/>
    <s v="BS22000"/>
    <s v="OB"/>
    <s v="Opening Balance"/>
    <m/>
    <d v="2025-01-01T00:00:00"/>
    <m/>
    <d v="1899-12-30T00:43:57"/>
    <s v="Mini Nair"/>
    <d v="1899-12-30T00:43:57"/>
    <m/>
    <m/>
    <s v="OCESEY"/>
    <m/>
    <d v="1899-12-30T00:44:11"/>
    <s v="Yes"/>
    <s v="Opening Balance"/>
  </r>
  <r>
    <s v="V70000095427"/>
    <s v="BRTFWD"/>
    <s v="Y"/>
    <n v="-86.5"/>
    <n v="-64.22"/>
    <n v="-86.5"/>
    <s v="SGD"/>
    <x v="60"/>
    <s v="BS22000"/>
    <s v="OB"/>
    <s v="Opening Balance"/>
    <m/>
    <d v="2025-01-01T00:00:00"/>
    <m/>
    <d v="1899-12-30T00:43:57"/>
    <s v="Mini Nair"/>
    <d v="1899-12-30T00:43:57"/>
    <m/>
    <m/>
    <s v="OEVER"/>
    <m/>
    <d v="1899-12-30T00:44:11"/>
    <s v="Yes"/>
    <s v="Opening Balance"/>
  </r>
  <r>
    <s v="V70000095430"/>
    <s v="BRTFWD"/>
    <s v="Y"/>
    <n v="-24.82"/>
    <n v="39.86"/>
    <n v="-24.82"/>
    <s v="SGD"/>
    <x v="60"/>
    <s v="BS22000"/>
    <s v="OB"/>
    <s v="Opening Balance"/>
    <m/>
    <d v="2025-01-01T00:00:00"/>
    <m/>
    <d v="1899-12-30T00:43:57"/>
    <s v="Mini Nair"/>
    <d v="1899-12-30T00:43:57"/>
    <m/>
    <m/>
    <s v="OSPREY"/>
    <m/>
    <d v="1899-12-30T00:44:11"/>
    <s v="Yes"/>
    <s v="Opening Balance"/>
  </r>
  <r>
    <s v="V70000095438"/>
    <s v="BRTFWD"/>
    <s v="Y"/>
    <n v="153.78"/>
    <n v="114.8"/>
    <n v="153.78"/>
    <s v="SGD"/>
    <x v="60"/>
    <s v="BS22000"/>
    <s v="OB"/>
    <s v="Opening Balance"/>
    <m/>
    <d v="2025-01-01T00:00:00"/>
    <m/>
    <d v="1899-12-30T00:43:57"/>
    <s v="Mini Nair"/>
    <d v="1899-12-30T00:43:57"/>
    <m/>
    <m/>
    <s v="PORUNI"/>
    <m/>
    <d v="1899-12-30T00:44:11"/>
    <s v="Yes"/>
    <s v="Opening Balance"/>
  </r>
  <r>
    <s v="V70000095439"/>
    <s v="BRTFWD"/>
    <s v="Y"/>
    <n v="1257"/>
    <n v="924.06"/>
    <n v="1257"/>
    <s v="SGD"/>
    <x v="60"/>
    <s v="BS22000"/>
    <s v="OB"/>
    <s v="Opening Balance"/>
    <m/>
    <d v="2025-01-01T00:00:00"/>
    <m/>
    <d v="1899-12-30T00:43:57"/>
    <s v="Mini Nair"/>
    <d v="1899-12-30T00:43:57"/>
    <m/>
    <m/>
    <s v="PROBE1"/>
    <m/>
    <d v="1899-12-30T00:44:11"/>
    <s v="Yes"/>
    <s v="Opening Balance"/>
  </r>
  <r>
    <s v="V70000095449"/>
    <s v="BRTFWD"/>
    <s v="Y"/>
    <n v="-1341.68"/>
    <n v="-1001.55"/>
    <n v="-1341.68"/>
    <s v="SGD"/>
    <x v="60"/>
    <s v="BS22000"/>
    <s v="OB"/>
    <s v="Opening Balance"/>
    <m/>
    <d v="2025-01-01T00:00:00"/>
    <m/>
    <d v="1899-12-30T00:43:57"/>
    <s v="Mini Nair"/>
    <d v="1899-12-30T00:43:57"/>
    <m/>
    <m/>
    <s v="RESBAY"/>
    <m/>
    <d v="1899-12-30T00:44:11"/>
    <s v="Yes"/>
    <s v="Opening Balance"/>
  </r>
  <r>
    <s v="V70000095457"/>
    <s v="BRTFWD"/>
    <s v="Y"/>
    <n v="16.440000000000001"/>
    <n v="7.24"/>
    <n v="16.440000000000001"/>
    <s v="SGD"/>
    <x v="60"/>
    <s v="BS22000"/>
    <s v="OB"/>
    <s v="Opening Balance"/>
    <m/>
    <d v="2025-01-01T00:00:00"/>
    <m/>
    <d v="1899-12-30T00:43:57"/>
    <s v="Mini Nair"/>
    <d v="1899-12-30T00:43:57"/>
    <m/>
    <m/>
    <s v="samint"/>
    <m/>
    <d v="1899-12-30T00:44:11"/>
    <s v="Yes"/>
    <s v="Opening Balance"/>
  </r>
  <r>
    <s v="V70000095458"/>
    <s v="BRTFWD"/>
    <s v="Y"/>
    <n v="162.32"/>
    <n v="121.17"/>
    <n v="162.32"/>
    <s v="SGD"/>
    <x v="60"/>
    <s v="BS22000"/>
    <s v="OB"/>
    <s v="Opening Balance"/>
    <m/>
    <d v="2025-01-01T00:00:00"/>
    <m/>
    <d v="1899-12-30T00:43:57"/>
    <s v="Mini Nair"/>
    <d v="1899-12-30T00:43:57"/>
    <m/>
    <m/>
    <s v="samres"/>
    <m/>
    <d v="1899-12-30T00:44:11"/>
    <s v="Yes"/>
    <s v="Opening Balance"/>
  </r>
  <r>
    <s v="V70000095315"/>
    <s v="BRTFWD"/>
    <s v="Y"/>
    <n v="-690.48"/>
    <n v="-515.30999999999995"/>
    <n v="-690.48"/>
    <s v="SGD"/>
    <x v="60"/>
    <s v="BS22000"/>
    <s v="OB"/>
    <s v="Opening Balance"/>
    <m/>
    <d v="2025-01-01T00:00:00"/>
    <m/>
    <d v="1899-12-30T00:43:57"/>
    <s v="Mini Nair"/>
    <d v="1899-12-30T00:43:57"/>
    <m/>
    <m/>
    <s v="AMI"/>
    <m/>
    <d v="1899-12-30T00:44:11"/>
    <s v="Yes"/>
    <s v="Opening Balance"/>
  </r>
  <r>
    <s v="V70000095318"/>
    <s v="BRTFWD"/>
    <s v="Y"/>
    <n v="-488.42"/>
    <n v="-364.6"/>
    <n v="-488.42"/>
    <s v="SGD"/>
    <x v="60"/>
    <s v="BS22000"/>
    <s v="OB"/>
    <s v="Opening Balance"/>
    <m/>
    <d v="2025-01-01T00:00:00"/>
    <m/>
    <d v="1899-12-30T00:43:57"/>
    <s v="Mini Nair"/>
    <d v="1899-12-30T00:43:57"/>
    <m/>
    <m/>
    <s v="ARJGAD"/>
    <m/>
    <d v="1899-12-30T00:44:11"/>
    <s v="Yes"/>
    <s v="Opening Balance"/>
  </r>
  <r>
    <s v="V70000095329"/>
    <s v="BRTFWD"/>
    <s v="Y"/>
    <n v="495.58"/>
    <n v="369.95"/>
    <n v="495.58"/>
    <s v="SGD"/>
    <x v="60"/>
    <s v="BS22000"/>
    <s v="OB"/>
    <s v="Opening Balance"/>
    <m/>
    <d v="2025-01-01T00:00:00"/>
    <m/>
    <d v="1899-12-30T00:43:57"/>
    <s v="Mini Nair"/>
    <d v="1899-12-30T00:43:57"/>
    <m/>
    <m/>
    <s v="BCGLOR"/>
    <m/>
    <d v="1899-12-30T00:44:11"/>
    <s v="Yes"/>
    <s v="Opening Balance"/>
  </r>
  <r>
    <s v="V70000095334"/>
    <s v="BRTFWD"/>
    <s v="Y"/>
    <n v="-161.52000000000001"/>
    <n v="-20.079999999999998"/>
    <n v="-161.52000000000001"/>
    <s v="SGD"/>
    <x v="60"/>
    <s v="BS22000"/>
    <s v="OB"/>
    <s v="Opening Balance"/>
    <m/>
    <d v="2025-01-01T00:00:00"/>
    <m/>
    <d v="1899-12-30T00:43:57"/>
    <s v="Mini Nair"/>
    <d v="1899-12-30T00:43:57"/>
    <m/>
    <m/>
    <s v="BRICK"/>
    <m/>
    <d v="1899-12-30T00:44:11"/>
    <s v="Yes"/>
    <s v="Opening Balance"/>
  </r>
  <r>
    <s v="V70000095335"/>
    <s v="BRTFWD"/>
    <s v="Y"/>
    <n v="-16.13"/>
    <n v="27.65"/>
    <n v="-16.13"/>
    <s v="SGD"/>
    <x v="60"/>
    <s v="BS22000"/>
    <s v="OB"/>
    <s v="Opening Balance"/>
    <m/>
    <d v="2025-01-01T00:00:00"/>
    <m/>
    <d v="1899-12-30T00:43:57"/>
    <s v="Mini Nair"/>
    <d v="1899-12-30T00:43:57"/>
    <m/>
    <m/>
    <s v="BULHAL"/>
    <m/>
    <d v="1899-12-30T00:44:11"/>
    <s v="Yes"/>
    <s v="Opening Balance"/>
  </r>
  <r>
    <s v="V70000095336"/>
    <s v="BRTFWD"/>
    <s v="Y"/>
    <n v="-429.57"/>
    <n v="-318.14"/>
    <n v="-429.57"/>
    <s v="SGD"/>
    <x v="60"/>
    <s v="BS22000"/>
    <s v="OB"/>
    <s v="Opening Balance"/>
    <m/>
    <d v="2025-01-01T00:00:00"/>
    <m/>
    <d v="1899-12-30T00:43:57"/>
    <s v="Mini Nair"/>
    <d v="1899-12-30T00:43:57"/>
    <m/>
    <m/>
    <s v="BULNUS"/>
    <m/>
    <d v="1899-12-30T00:44:11"/>
    <s v="Yes"/>
    <s v="Opening Balance"/>
  </r>
  <r>
    <s v="V70000095337"/>
    <s v="BRTFWD"/>
    <s v="Y"/>
    <n v="-817.96"/>
    <n v="-611.70000000000005"/>
    <n v="-817.96"/>
    <s v="SGD"/>
    <x v="60"/>
    <s v="BS22000"/>
    <s v="OB"/>
    <s v="Opening Balance"/>
    <m/>
    <d v="2025-01-01T00:00:00"/>
    <m/>
    <d v="1899-12-30T00:43:57"/>
    <s v="Mini Nair"/>
    <d v="1899-12-30T00:43:57"/>
    <m/>
    <m/>
    <s v="BWLARA"/>
    <m/>
    <d v="1899-12-30T00:44:11"/>
    <s v="Yes"/>
    <s v="Opening Balance"/>
  </r>
  <r>
    <s v="V70000095338"/>
    <s v="BRTFWD"/>
    <s v="Y"/>
    <n v="-273.36"/>
    <n v="-204.06"/>
    <n v="-273.36"/>
    <s v="SGD"/>
    <x v="60"/>
    <s v="BS22000"/>
    <s v="OB"/>
    <s v="Opening Balance"/>
    <m/>
    <d v="2025-01-01T00:00:00"/>
    <m/>
    <d v="1899-12-30T00:43:57"/>
    <s v="Mini Nair"/>
    <d v="1899-12-30T00:43:57"/>
    <m/>
    <m/>
    <s v="CALTRA"/>
    <m/>
    <d v="1899-12-30T00:44:11"/>
    <s v="Yes"/>
    <s v="Opening Balance"/>
  </r>
  <r>
    <s v="V70000095339"/>
    <s v="BRTFWD"/>
    <s v="Y"/>
    <n v="2.96"/>
    <n v="2.21"/>
    <n v="2.96"/>
    <s v="SGD"/>
    <x v="60"/>
    <s v="BS22000"/>
    <s v="OB"/>
    <s v="Opening Balance"/>
    <m/>
    <d v="2025-01-01T00:00:00"/>
    <m/>
    <d v="1899-12-30T00:43:57"/>
    <s v="Mini Nair"/>
    <d v="1899-12-30T00:43:57"/>
    <m/>
    <m/>
    <s v="CHEHER"/>
    <m/>
    <d v="1899-12-30T00:44:11"/>
    <s v="Yes"/>
    <s v="Opening Balance"/>
  </r>
  <r>
    <s v="V70000095341"/>
    <s v="BRTFWD"/>
    <s v="Y"/>
    <n v="-160"/>
    <n v="-118.8"/>
    <n v="-160"/>
    <s v="SGD"/>
    <x v="60"/>
    <s v="BS22000"/>
    <s v="OB"/>
    <s v="Opening Balance"/>
    <m/>
    <d v="2025-01-01T00:00:00"/>
    <m/>
    <d v="1899-12-30T00:43:57"/>
    <s v="Mini Nair"/>
    <d v="1899-12-30T00:43:57"/>
    <m/>
    <m/>
    <s v="CHPREM"/>
    <m/>
    <d v="1899-12-30T00:44:11"/>
    <s v="Yes"/>
    <s v="Opening Balance"/>
  </r>
  <r>
    <s v="V70000095349"/>
    <s v="BRTFWD"/>
    <s v="Y"/>
    <n v="-443.67"/>
    <n v="-347.7"/>
    <n v="-443.67"/>
    <s v="SGD"/>
    <x v="60"/>
    <s v="BS22000"/>
    <s v="OB"/>
    <s v="Opening Balance"/>
    <m/>
    <d v="2025-01-01T00:00:00"/>
    <m/>
    <d v="1899-12-30T00:43:57"/>
    <s v="Mini Nair"/>
    <d v="1899-12-30T00:43:57"/>
    <m/>
    <m/>
    <s v="CTRAD1"/>
    <m/>
    <d v="1899-12-30T00:44:11"/>
    <s v="Yes"/>
    <s v="Opening Balance"/>
  </r>
  <r>
    <s v="V70000095357"/>
    <s v="BRTFWD"/>
    <s v="Y"/>
    <n v="21.1"/>
    <n v="15.75"/>
    <n v="21.1"/>
    <s v="SGD"/>
    <x v="60"/>
    <s v="BS22000"/>
    <s v="OB"/>
    <s v="Opening Balance"/>
    <m/>
    <d v="2025-01-01T00:00:00"/>
    <m/>
    <d v="1899-12-30T00:43:57"/>
    <s v="Mini Nair"/>
    <d v="1899-12-30T00:43:57"/>
    <m/>
    <m/>
    <s v="EASIRI"/>
    <m/>
    <d v="1899-12-30T00:44:11"/>
    <s v="Yes"/>
    <s v="Opening Balance"/>
  </r>
  <r>
    <s v="V70000095365"/>
    <s v="BRTFWD"/>
    <s v="Y"/>
    <n v="-143.69999999999999"/>
    <n v="-107.27"/>
    <n v="-143.69999999999999"/>
    <s v="SGD"/>
    <x v="60"/>
    <s v="BS22000"/>
    <s v="OB"/>
    <s v="Opening Balance"/>
    <m/>
    <d v="2025-01-01T00:00:00"/>
    <m/>
    <d v="1899-12-30T00:43:57"/>
    <s v="Mini Nair"/>
    <d v="1899-12-30T00:43:57"/>
    <m/>
    <m/>
    <s v="EMBY"/>
    <m/>
    <d v="1899-12-30T00:44:11"/>
    <s v="Yes"/>
    <s v="Opening Balance"/>
  </r>
  <r>
    <s v="V70000095371"/>
    <s v="BRTFWD"/>
    <s v="Y"/>
    <n v="15.13"/>
    <n v="11.29"/>
    <n v="15.13"/>
    <s v="SGD"/>
    <x v="60"/>
    <s v="BS22000"/>
    <s v="OB"/>
    <s v="Opening Balance"/>
    <m/>
    <d v="2025-01-01T00:00:00"/>
    <m/>
    <d v="1899-12-30T00:43:57"/>
    <s v="Mini Nair"/>
    <d v="1899-12-30T00:43:57"/>
    <m/>
    <m/>
    <s v="GEMCON"/>
    <m/>
    <d v="1899-12-30T00:44:11"/>
    <s v="Yes"/>
    <s v="Opening Balance"/>
  </r>
  <r>
    <s v="V70000095375"/>
    <s v="BRTFWD"/>
    <s v="Y"/>
    <n v="-31.37"/>
    <n v="-24.05"/>
    <n v="-31.37"/>
    <s v="SGD"/>
    <x v="60"/>
    <s v="BS22000"/>
    <s v="OB"/>
    <s v="Opening Balance"/>
    <m/>
    <d v="2025-01-01T00:00:00"/>
    <m/>
    <d v="1899-12-30T00:43:57"/>
    <s v="Mini Nair"/>
    <d v="1899-12-30T00:43:57"/>
    <m/>
    <m/>
    <s v="HCYGNU"/>
    <m/>
    <d v="1899-12-30T00:44:11"/>
    <s v="Yes"/>
    <s v="Opening Balance"/>
  </r>
  <r>
    <s v="V70000095376"/>
    <s v="BRTFWD"/>
    <s v="Y"/>
    <n v="-3261.42"/>
    <n v="-2421.34"/>
    <n v="-3261.42"/>
    <s v="SGD"/>
    <x v="60"/>
    <s v="BS22000"/>
    <s v="OB"/>
    <s v="Opening Balance"/>
    <m/>
    <d v="2025-01-01T00:00:00"/>
    <m/>
    <d v="1899-12-30T00:43:57"/>
    <s v="Mini Nair"/>
    <d v="1899-12-30T00:43:57"/>
    <m/>
    <m/>
    <s v="HERZH1"/>
    <m/>
    <d v="1899-12-30T00:44:11"/>
    <s v="Yes"/>
    <s v="Opening Balance"/>
  </r>
  <r>
    <s v="V70000095383"/>
    <s v="BRTFWD"/>
    <s v="Y"/>
    <n v="107.65"/>
    <n v="79.48"/>
    <n v="107.65"/>
    <s v="SGD"/>
    <x v="60"/>
    <s v="BS22000"/>
    <s v="OB"/>
    <s v="Opening Balance"/>
    <m/>
    <d v="2025-01-01T00:00:00"/>
    <m/>
    <d v="1899-12-30T00:43:57"/>
    <s v="Mini Nair"/>
    <d v="1899-12-30T00:43:57"/>
    <m/>
    <m/>
    <s v="INDPRO"/>
    <m/>
    <d v="1899-12-30T00:44:11"/>
    <s v="Yes"/>
    <s v="Opening Balance"/>
  </r>
  <r>
    <s v="V70000095395"/>
    <s v="BRTFWD"/>
    <s v="Y"/>
    <n v="7.51"/>
    <n v="5.61"/>
    <n v="7.51"/>
    <s v="SGD"/>
    <x v="60"/>
    <s v="BS22000"/>
    <s v="OB"/>
    <s v="Opening Balance"/>
    <m/>
    <d v="2025-01-01T00:00:00"/>
    <m/>
    <d v="1899-12-30T00:43:57"/>
    <s v="Mini Nair"/>
    <d v="1899-12-30T00:43:57"/>
    <m/>
    <m/>
    <s v="KYRIAY"/>
    <m/>
    <d v="1899-12-30T00:44:11"/>
    <s v="Yes"/>
    <s v="Opening Balance"/>
  </r>
  <r>
    <s v="V70000095404"/>
    <s v="BRTFWD"/>
    <s v="Y"/>
    <n v="-741.12"/>
    <n v="-581.94000000000005"/>
    <n v="-741.12"/>
    <s v="SGD"/>
    <x v="60"/>
    <s v="BS22000"/>
    <s v="OB"/>
    <s v="Opening Balance"/>
    <m/>
    <d v="2025-01-01T00:00:00"/>
    <m/>
    <d v="1899-12-30T00:43:57"/>
    <s v="Mini Nair"/>
    <d v="1899-12-30T00:43:57"/>
    <m/>
    <m/>
    <s v="MPMRTI"/>
    <m/>
    <d v="1899-12-30T00:44:11"/>
    <s v="Yes"/>
    <s v="Opening Balance"/>
  </r>
  <r>
    <s v="V70000095407"/>
    <s v="BRTFWD"/>
    <s v="Y"/>
    <n v="4.05"/>
    <n v="3.02"/>
    <n v="4.05"/>
    <s v="SGD"/>
    <x v="60"/>
    <s v="BS22000"/>
    <s v="OB"/>
    <s v="Opening Balance"/>
    <m/>
    <d v="2025-01-01T00:00:00"/>
    <m/>
    <d v="1899-12-30T00:43:57"/>
    <s v="Mini Nair"/>
    <d v="1899-12-30T00:43:57"/>
    <m/>
    <m/>
    <s v="NILCON"/>
    <m/>
    <d v="1899-12-30T00:44:11"/>
    <s v="Yes"/>
    <s v="Opening Balance"/>
  </r>
  <r>
    <s v="V70000095417"/>
    <s v="BRTFWD"/>
    <s v="Y"/>
    <n v="6.39"/>
    <n v="4.7699999999999996"/>
    <n v="6.39"/>
    <s v="SGD"/>
    <x v="60"/>
    <s v="BS22000"/>
    <s v="OB"/>
    <s v="Opening Balance"/>
    <m/>
    <d v="2025-01-01T00:00:00"/>
    <m/>
    <d v="1899-12-30T00:43:57"/>
    <s v="Mini Nair"/>
    <d v="1899-12-30T00:43:57"/>
    <m/>
    <m/>
    <s v="OCEPLU"/>
    <m/>
    <d v="1899-12-30T00:44:11"/>
    <s v="Yes"/>
    <s v="Opening Balance"/>
  </r>
  <r>
    <s v="V70000095422"/>
    <s v="BRTFWD"/>
    <s v="Y"/>
    <n v="21.68"/>
    <n v="16.18"/>
    <n v="21.68"/>
    <s v="SGD"/>
    <x v="60"/>
    <s v="BS22000"/>
    <s v="OB"/>
    <s v="Opening Balance"/>
    <m/>
    <d v="2025-01-01T00:00:00"/>
    <m/>
    <d v="1899-12-30T00:43:57"/>
    <s v="Mini Nair"/>
    <d v="1899-12-30T00:43:57"/>
    <m/>
    <m/>
    <s v="OCETHY"/>
    <m/>
    <d v="1899-12-30T00:44:11"/>
    <s v="Yes"/>
    <s v="Opening Balance"/>
  </r>
  <r>
    <s v="V70000095445"/>
    <s v="BRTFWD"/>
    <s v="Y"/>
    <n v="-434.28"/>
    <n v="-205.04"/>
    <n v="-434.28"/>
    <s v="SGD"/>
    <x v="60"/>
    <s v="BS22000"/>
    <s v="OB"/>
    <s v="Opening Balance"/>
    <m/>
    <d v="2025-01-01T00:00:00"/>
    <m/>
    <d v="1899-12-30T00:43:57"/>
    <s v="Mini Nair"/>
    <d v="1899-12-30T00:43:57"/>
    <m/>
    <m/>
    <s v="PROPRO"/>
    <m/>
    <d v="1899-12-30T00:44:11"/>
    <s v="Yes"/>
    <s v="Opening Balance"/>
  </r>
  <r>
    <s v="V70000095612"/>
    <s v="ROLCLR"/>
    <s v="Y"/>
    <n v="-4060.92"/>
    <n v="-3024.22"/>
    <n v="-4060.92"/>
    <m/>
    <x v="41"/>
    <s v="BS53000"/>
    <s v="OB"/>
    <s v="Opening Balance"/>
    <m/>
    <d v="2025-01-01T00:00:00"/>
    <m/>
    <d v="1899-12-30T00:43:57"/>
    <s v="Mini Nair"/>
    <d v="1899-12-30T00:43:57"/>
    <m/>
    <m/>
    <s v="ASIAIN"/>
    <m/>
    <d v="1899-12-30T00:44:11"/>
    <s v="Yes"/>
    <s v="Roll and Clear - 3302000"/>
  </r>
  <r>
    <s v="V70000095619"/>
    <s v="ROLCLR"/>
    <s v="Y"/>
    <n v="-142794.22"/>
    <n v="-107000.04"/>
    <n v="-142794.22"/>
    <m/>
    <x v="41"/>
    <s v="BS53000"/>
    <s v="OB"/>
    <s v="Opening Balance"/>
    <m/>
    <d v="2025-01-01T00:00:00"/>
    <m/>
    <d v="1899-12-30T00:43:57"/>
    <s v="Mini Nair"/>
    <d v="1899-12-30T00:43:57"/>
    <m/>
    <m/>
    <s v="CLBAYA"/>
    <m/>
    <d v="1899-12-30T00:44:11"/>
    <s v="Yes"/>
    <s v="Roll and Clear - 3302000"/>
  </r>
  <r>
    <s v="V70000095620"/>
    <s v="ROLCLR"/>
    <s v="Y"/>
    <n v="-134119.76"/>
    <n v="-100500"/>
    <n v="-134119.76"/>
    <m/>
    <x v="41"/>
    <s v="BS53000"/>
    <s v="OB"/>
    <s v="Opening Balance"/>
    <m/>
    <d v="2025-01-01T00:00:00"/>
    <m/>
    <d v="1899-12-30T00:43:57"/>
    <s v="Mini Nair"/>
    <d v="1899-12-30T00:43:57"/>
    <m/>
    <m/>
    <s v="CLGRAC"/>
    <m/>
    <d v="1899-12-30T00:44:11"/>
    <s v="Yes"/>
    <s v="Roll and Clear - 3302000"/>
  </r>
  <r>
    <s v="V70000095625"/>
    <s v="ROLCLR"/>
    <s v="Y"/>
    <n v="206.86"/>
    <n v="0"/>
    <n v="206.86"/>
    <m/>
    <x v="41"/>
    <s v="BS53000"/>
    <s v="OB"/>
    <s v="Opening Balance"/>
    <m/>
    <d v="2025-01-01T00:00:00"/>
    <m/>
    <d v="1899-12-30T00:43:57"/>
    <s v="Mini Nair"/>
    <d v="1899-12-30T00:43:57"/>
    <m/>
    <m/>
    <s v="EASFRE"/>
    <m/>
    <d v="1899-12-30T00:44:11"/>
    <s v="Yes"/>
    <s v="Roll and Clear - 3302000"/>
  </r>
  <r>
    <s v="V70000095626"/>
    <s v="ROLCLR"/>
    <s v="Y"/>
    <n v="-120470.24"/>
    <n v="-89558"/>
    <n v="-120470.24"/>
    <m/>
    <x v="41"/>
    <s v="BS53000"/>
    <s v="OB"/>
    <s v="Opening Balance"/>
    <m/>
    <d v="2025-01-01T00:00:00"/>
    <m/>
    <d v="1899-12-30T00:43:57"/>
    <s v="Mini Nair"/>
    <d v="1899-12-30T00:43:57"/>
    <m/>
    <m/>
    <s v="EASHAW"/>
    <m/>
    <d v="1899-12-30T00:44:11"/>
    <s v="Yes"/>
    <s v="Roll and Clear - 3302000"/>
  </r>
  <r>
    <s v="V70000095629"/>
    <s v="ROLCLR"/>
    <s v="Y"/>
    <n v="0"/>
    <n v="0"/>
    <n v="0"/>
    <m/>
    <x v="41"/>
    <s v="BS53000"/>
    <s v="OB"/>
    <s v="Opening Balance"/>
    <m/>
    <d v="2025-01-01T00:00:00"/>
    <m/>
    <d v="1899-12-30T00:43:57"/>
    <s v="Mini Nair"/>
    <d v="1899-12-30T00:43:57"/>
    <m/>
    <m/>
    <s v="EASORC"/>
    <m/>
    <d v="1899-12-30T00:44:11"/>
    <s v="Yes"/>
    <s v="Roll and Clear - 3302000"/>
  </r>
  <r>
    <s v="V70000095641"/>
    <s v="ROLCLR"/>
    <s v="Y"/>
    <n v="-1052"/>
    <n v="-778.68"/>
    <n v="-1052"/>
    <m/>
    <x v="41"/>
    <s v="BS53000"/>
    <s v="OB"/>
    <s v="Opening Balance"/>
    <m/>
    <d v="2025-01-01T00:00:00"/>
    <m/>
    <d v="1899-12-30T00:43:57"/>
    <s v="Mini Nair"/>
    <d v="1899-12-30T00:43:57"/>
    <m/>
    <m/>
    <s v="HMERUR"/>
    <m/>
    <d v="1899-12-30T00:44:11"/>
    <s v="Yes"/>
    <s v="Roll and Clear - 3302000"/>
  </r>
  <r>
    <s v="V70000095647"/>
    <s v="ROLCLR"/>
    <s v="Y"/>
    <n v="-222994.32"/>
    <n v="-167079.96"/>
    <n v="-222994.32"/>
    <m/>
    <x v="41"/>
    <s v="BS53000"/>
    <s v="OB"/>
    <s v="Opening Balance"/>
    <m/>
    <d v="2025-01-01T00:00:00"/>
    <m/>
    <d v="1899-12-30T00:43:57"/>
    <s v="Mini Nair"/>
    <d v="1899-12-30T00:43:57"/>
    <m/>
    <m/>
    <s v="KKMARL"/>
    <m/>
    <d v="1899-12-30T00:44:11"/>
    <s v="Yes"/>
    <s v="Roll and Clear - 3302000"/>
  </r>
  <r>
    <s v="V70000095651"/>
    <s v="ROLCLR"/>
    <s v="Y"/>
    <n v="-138790.66"/>
    <n v="-104000.04"/>
    <n v="-138790.66"/>
    <m/>
    <x v="41"/>
    <s v="BS53000"/>
    <s v="OB"/>
    <s v="Opening Balance"/>
    <m/>
    <d v="2025-01-01T00:00:00"/>
    <m/>
    <d v="1899-12-30T00:43:57"/>
    <s v="Mini Nair"/>
    <d v="1899-12-30T00:43:57"/>
    <m/>
    <m/>
    <s v="MLSWAL"/>
    <m/>
    <d v="1899-12-30T00:44:11"/>
    <s v="Yes"/>
    <s v="Roll and Clear - 3302000"/>
  </r>
  <r>
    <s v="V70000095658"/>
    <s v="ROLCLR"/>
    <s v="Y"/>
    <n v="-96980.42"/>
    <n v="-72402.77"/>
    <n v="-96980.42"/>
    <m/>
    <x v="41"/>
    <s v="BS53000"/>
    <s v="OB"/>
    <s v="Opening Balance"/>
    <m/>
    <d v="2025-01-01T00:00:00"/>
    <m/>
    <d v="1899-12-30T00:43:57"/>
    <s v="Mini Nair"/>
    <d v="1899-12-30T00:43:57"/>
    <m/>
    <m/>
    <s v="OKEAUG"/>
    <m/>
    <d v="1899-12-30T00:44:11"/>
    <s v="Yes"/>
    <s v="Roll and Clear - 3302000"/>
  </r>
  <r>
    <s v="V70000095663"/>
    <s v="ROLCLR"/>
    <s v="Y"/>
    <n v="-171594.58"/>
    <n v="-128580"/>
    <n v="-171594.58"/>
    <m/>
    <x v="41"/>
    <s v="BS53000"/>
    <s v="OB"/>
    <s v="Opening Balance"/>
    <m/>
    <d v="2025-01-01T00:00:00"/>
    <m/>
    <d v="1899-12-30T00:43:57"/>
    <s v="Mini Nair"/>
    <d v="1899-12-30T00:43:57"/>
    <m/>
    <m/>
    <s v="OTIANC"/>
    <m/>
    <d v="1899-12-30T00:44:11"/>
    <s v="Yes"/>
    <s v="Roll and Clear - 3302000"/>
  </r>
  <r>
    <s v="V70000095671"/>
    <s v="ROLCLR"/>
    <s v="Y"/>
    <n v="-91696.76"/>
    <n v="-68437.03"/>
    <n v="-91696.76"/>
    <m/>
    <x v="41"/>
    <s v="BS53000"/>
    <s v="OB"/>
    <s v="Opening Balance"/>
    <m/>
    <d v="2025-01-01T00:00:00"/>
    <m/>
    <d v="1899-12-30T00:43:57"/>
    <s v="Mini Nair"/>
    <d v="1899-12-30T00:43:57"/>
    <m/>
    <m/>
    <s v="PAMP02"/>
    <m/>
    <d v="1899-12-30T00:44:11"/>
    <s v="Yes"/>
    <s v="Roll and Clear - 3302000"/>
  </r>
  <r>
    <s v="V70000095685"/>
    <s v="ROLCLR"/>
    <s v="Y"/>
    <n v="-156806.73000000001"/>
    <n v="-117500.03"/>
    <n v="-156806.73000000001"/>
    <m/>
    <x v="41"/>
    <s v="BS53000"/>
    <s v="OB"/>
    <s v="Opening Balance"/>
    <m/>
    <d v="2025-01-01T00:00:00"/>
    <m/>
    <d v="1899-12-30T00:43:57"/>
    <s v="Mini Nair"/>
    <d v="1899-12-30T00:43:57"/>
    <m/>
    <m/>
    <s v="SCALLI"/>
    <m/>
    <d v="1899-12-30T00:44:11"/>
    <s v="Yes"/>
    <s v="Roll and Clear - 3302000"/>
  </r>
  <r>
    <s v="V70000095746"/>
    <s v="ROLCLR"/>
    <s v="Y"/>
    <n v="-164947.29"/>
    <n v="-123600"/>
    <n v="-164947.29"/>
    <m/>
    <x v="41"/>
    <s v="BS53000"/>
    <s v="OB"/>
    <s v="Opening Balance"/>
    <m/>
    <d v="2025-01-01T00:00:00"/>
    <m/>
    <d v="1899-12-30T00:43:57"/>
    <s v="Mini Nair"/>
    <d v="1899-12-30T00:43:57"/>
    <m/>
    <m/>
    <s v="WAH529"/>
    <m/>
    <d v="1899-12-30T00:44:11"/>
    <s v="Yes"/>
    <s v="Roll and Clear - 3302000"/>
  </r>
  <r>
    <s v="V70000095398"/>
    <s v="BRTFWD"/>
    <s v="Y"/>
    <n v="15.13"/>
    <n v="6.61"/>
    <n v="15.13"/>
    <s v="SGD"/>
    <x v="60"/>
    <s v="BS22000"/>
    <s v="OB"/>
    <s v="Opening Balance"/>
    <m/>
    <d v="2025-01-01T00:00:00"/>
    <m/>
    <d v="1899-12-30T00:43:57"/>
    <s v="Mini Nair"/>
    <d v="1899-12-30T00:43:57"/>
    <m/>
    <m/>
    <s v="LIBCON"/>
    <m/>
    <d v="1899-12-30T00:44:11"/>
    <s v="Yes"/>
    <s v="Opening Balance"/>
  </r>
  <r>
    <s v="V70000095414"/>
    <s v="BRTFWD"/>
    <s v="Y"/>
    <n v="-1586.86"/>
    <n v="-1184.58"/>
    <n v="-1586.86"/>
    <s v="SGD"/>
    <x v="60"/>
    <s v="BS22000"/>
    <s v="OB"/>
    <s v="Opening Balance"/>
    <m/>
    <d v="2025-01-01T00:00:00"/>
    <m/>
    <d v="1899-12-30T00:43:57"/>
    <s v="Mini Nair"/>
    <d v="1899-12-30T00:43:57"/>
    <m/>
    <m/>
    <s v="OCEHER"/>
    <m/>
    <d v="1899-12-30T00:44:11"/>
    <s v="Yes"/>
    <s v="Opening Balance"/>
  </r>
  <r>
    <s v="V70000095424"/>
    <s v="BRTFWD"/>
    <s v="Y"/>
    <n v="-4125.82"/>
    <n v="-3063.78"/>
    <n v="-4125.82"/>
    <s v="SGD"/>
    <x v="60"/>
    <s v="BS22000"/>
    <s v="OB"/>
    <s v="Opening Balance"/>
    <m/>
    <d v="2025-01-01T00:00:00"/>
    <m/>
    <d v="1899-12-30T00:43:57"/>
    <s v="Mini Nair"/>
    <d v="1899-12-30T00:43:57"/>
    <m/>
    <m/>
    <s v="OCNADR"/>
    <m/>
    <d v="1899-12-30T00:44:11"/>
    <s v="Yes"/>
    <s v="Opening Balance"/>
  </r>
  <r>
    <s v="V70000095443"/>
    <s v="BRTFWD"/>
    <s v="Y"/>
    <n v="-1.02"/>
    <n v="-0.76"/>
    <n v="-1.02"/>
    <s v="SGD"/>
    <x v="60"/>
    <s v="BS22000"/>
    <s v="OB"/>
    <s v="Opening Balance"/>
    <m/>
    <d v="2025-01-01T00:00:00"/>
    <m/>
    <d v="1899-12-30T00:43:57"/>
    <s v="Mini Nair"/>
    <d v="1899-12-30T00:43:57"/>
    <m/>
    <m/>
    <s v="PROPAS"/>
    <m/>
    <d v="1899-12-30T00:44:11"/>
    <s v="Yes"/>
    <s v="Opening Balance"/>
  </r>
  <r>
    <s v="V70000095450"/>
    <s v="BRTFWD"/>
    <s v="Y"/>
    <n v="-445.81"/>
    <n v="-332.79"/>
    <n v="-445.81"/>
    <s v="SGD"/>
    <x v="60"/>
    <s v="BS22000"/>
    <s v="OB"/>
    <s v="Opening Balance"/>
    <m/>
    <d v="2025-01-01T00:00:00"/>
    <m/>
    <d v="1899-12-30T00:43:57"/>
    <s v="Mini Nair"/>
    <d v="1899-12-30T00:43:57"/>
    <m/>
    <m/>
    <s v="RESOAY"/>
    <m/>
    <d v="1899-12-30T00:44:11"/>
    <s v="Yes"/>
    <s v="Opening Balance"/>
  </r>
  <r>
    <s v="V70000095452"/>
    <s v="BRTFWD"/>
    <s v="Y"/>
    <n v="-390"/>
    <n v="-291.13"/>
    <n v="-390"/>
    <s v="SGD"/>
    <x v="60"/>
    <s v="BS22000"/>
    <s v="OB"/>
    <s v="Opening Balance"/>
    <m/>
    <d v="2025-01-01T00:00:00"/>
    <m/>
    <d v="1899-12-30T00:43:57"/>
    <s v="Mini Nair"/>
    <d v="1899-12-30T00:43:57"/>
    <m/>
    <m/>
    <s v="SAGUBE"/>
    <m/>
    <d v="1899-12-30T00:44:11"/>
    <s v="Yes"/>
    <s v="Opening Balance"/>
  </r>
  <r>
    <s v="V70000095462"/>
    <s v="BRTFWD"/>
    <s v="Y"/>
    <n v="-54"/>
    <n v="-33"/>
    <n v="-54"/>
    <s v="SGD"/>
    <x v="60"/>
    <s v="BS22000"/>
    <s v="OB"/>
    <s v="Opening Balance"/>
    <m/>
    <d v="2025-01-01T00:00:00"/>
    <m/>
    <d v="1899-12-30T00:43:57"/>
    <s v="Mini Nair"/>
    <d v="1899-12-30T00:43:57"/>
    <m/>
    <m/>
    <s v="SCLMER"/>
    <m/>
    <d v="1899-12-30T00:44:11"/>
    <s v="Yes"/>
    <s v="Opening Balance"/>
  </r>
  <r>
    <s v="V70000095463"/>
    <s v="BRTFWD"/>
    <s v="Y"/>
    <n v="354"/>
    <n v="339.81"/>
    <n v="354"/>
    <s v="SGD"/>
    <x v="60"/>
    <s v="BS22000"/>
    <s v="OB"/>
    <s v="Opening Balance"/>
    <m/>
    <d v="2025-01-01T00:00:00"/>
    <m/>
    <d v="1899-12-30T00:43:57"/>
    <s v="Mini Nair"/>
    <d v="1899-12-30T00:43:57"/>
    <m/>
    <m/>
    <s v="scohon"/>
    <m/>
    <d v="1899-12-30T00:44:11"/>
    <s v="Yes"/>
    <s v="Opening Balance"/>
  </r>
  <r>
    <s v="V70000095465"/>
    <s v="BRTFWD"/>
    <s v="Y"/>
    <n v="5.46"/>
    <n v="4.08"/>
    <n v="5.46"/>
    <s v="SGD"/>
    <x v="60"/>
    <s v="BS22000"/>
    <s v="OB"/>
    <s v="Opening Balance"/>
    <m/>
    <d v="2025-01-01T00:00:00"/>
    <m/>
    <d v="1899-12-30T00:43:57"/>
    <s v="Mini Nair"/>
    <d v="1899-12-30T00:43:57"/>
    <m/>
    <m/>
    <s v="SIABAY"/>
    <m/>
    <d v="1899-12-30T00:44:11"/>
    <s v="Yes"/>
    <s v="Opening Balance"/>
  </r>
  <r>
    <s v="V70000095469"/>
    <s v="BRTFWD"/>
    <s v="Y"/>
    <n v="-2762.53"/>
    <n v="-2062.21"/>
    <n v="-2762.53"/>
    <s v="SGD"/>
    <x v="60"/>
    <s v="BS22000"/>
    <s v="OB"/>
    <s v="Opening Balance"/>
    <m/>
    <d v="2025-01-01T00:00:00"/>
    <m/>
    <d v="1899-12-30T00:43:57"/>
    <s v="Mini Nair"/>
    <d v="1899-12-30T00:43:57"/>
    <m/>
    <m/>
    <s v="SKYLGT"/>
    <m/>
    <d v="1899-12-30T00:44:11"/>
    <s v="Yes"/>
    <s v="Opening Balance"/>
  </r>
  <r>
    <s v="V70000095478"/>
    <s v="BRTFWD"/>
    <s v="Y"/>
    <n v="3.97"/>
    <n v="2.08"/>
    <n v="3.97"/>
    <s v="SGD"/>
    <x v="60"/>
    <s v="BS22000"/>
    <s v="OB"/>
    <s v="Opening Balance"/>
    <m/>
    <d v="2025-01-01T00:00:00"/>
    <m/>
    <d v="1899-12-30T00:43:57"/>
    <s v="Mini Nair"/>
    <d v="1899-12-30T00:43:57"/>
    <m/>
    <m/>
    <s v="TRINT1"/>
    <m/>
    <d v="1899-12-30T00:44:11"/>
    <s v="Yes"/>
    <s v="Opening Balance"/>
  </r>
  <r>
    <s v="V70000095481"/>
    <s v="BRTFWD"/>
    <s v="Y"/>
    <n v="-1760.2"/>
    <n v="-1313.97"/>
    <n v="-1760.2"/>
    <s v="SGD"/>
    <x v="60"/>
    <s v="BS22000"/>
    <s v="OB"/>
    <s v="Opening Balance"/>
    <m/>
    <d v="2025-01-01T00:00:00"/>
    <m/>
    <d v="1899-12-30T00:43:57"/>
    <s v="Mini Nair"/>
    <d v="1899-12-30T00:43:57"/>
    <m/>
    <m/>
    <s v="VENBAY"/>
    <m/>
    <d v="1899-12-30T00:44:11"/>
    <s v="Yes"/>
    <s v="Opening Balance"/>
  </r>
  <r>
    <s v="V70000095485"/>
    <s v="BRTFWD"/>
    <s v="Y"/>
    <n v="316.41000000000003"/>
    <n v="236.2"/>
    <n v="316.41000000000003"/>
    <s v="SGD"/>
    <x v="60"/>
    <s v="BS22000"/>
    <s v="OB"/>
    <s v="Opening Balance"/>
    <m/>
    <d v="2025-01-01T00:00:00"/>
    <m/>
    <d v="1899-12-30T00:43:57"/>
    <s v="Mini Nair"/>
    <d v="1899-12-30T00:43:57"/>
    <m/>
    <m/>
    <s v="WIMPOL"/>
    <m/>
    <d v="1899-12-30T00:44:11"/>
    <s v="Yes"/>
    <s v="Opening Balance"/>
  </r>
  <r>
    <s v="V70000095520"/>
    <s v="BRTFWD"/>
    <s v="Y"/>
    <n v="-1"/>
    <n v="-0.74"/>
    <n v="-1"/>
    <s v="SGD"/>
    <x v="61"/>
    <s v="BS329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89"/>
    <s v="BRTFWD"/>
    <s v="Y"/>
    <n v="-78764968.719999999"/>
    <n v="-59265653.140000001"/>
    <n v="-78764968.719999999"/>
    <s v="SGD"/>
    <x v="62"/>
    <s v="IGNORE"/>
    <s v="OB"/>
    <s v="Opening Balance"/>
    <m/>
    <d v="2025-01-01T00:00:00"/>
    <m/>
    <d v="1899-12-30T00:43:57"/>
    <s v="Mini Nair"/>
    <d v="1899-12-30T00:43:57"/>
    <s v="VSERGSM0125"/>
    <s v="VSAG V.Ships Asia Group Pte Ltd (HOLDING)"/>
    <m/>
    <m/>
    <d v="1899-12-30T00:44:11"/>
    <s v="Yes"/>
    <s v="Opening Balance"/>
  </r>
  <r>
    <s v="V70000095590"/>
    <s v="BRTFWD"/>
    <s v="Y"/>
    <n v="2"/>
    <n v="-376.19"/>
    <n v="2"/>
    <s v="SGD"/>
    <x v="62"/>
    <s v="IGNORE"/>
    <s v="OB"/>
    <s v="Opening Balance"/>
    <m/>
    <d v="2025-01-01T00:00:00"/>
    <m/>
    <d v="1899-12-30T00:43:57"/>
    <s v="Mini Nair"/>
    <d v="1899-12-30T00:43:57"/>
    <s v="VSERGSM0277"/>
    <s v="Belships Management (Singapore) Pte Ltd"/>
    <m/>
    <m/>
    <d v="1899-12-30T00:44:11"/>
    <s v="Yes"/>
    <s v="Opening Balance"/>
  </r>
  <r>
    <s v="V70000095594"/>
    <s v="BRTFWD"/>
    <s v="Y"/>
    <n v="-79956.47"/>
    <n v="-56868.84"/>
    <n v="-79956.47"/>
    <s v="SGD"/>
    <x v="63"/>
    <s v="BS41664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95"/>
    <s v="BRTFWD"/>
    <s v="Y"/>
    <n v="25263.72"/>
    <n v="18379.61"/>
    <n v="25263.72"/>
    <s v="SGD"/>
    <x v="63"/>
    <s v="BS41664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96"/>
    <s v="BRTFWD"/>
    <s v="Y"/>
    <n v="-113244.57"/>
    <n v="-78806.240000000005"/>
    <n v="-113244.57"/>
    <s v="SGD"/>
    <x v="64"/>
    <s v="BS4167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97"/>
    <s v="BRTFWD"/>
    <s v="Y"/>
    <n v="-269608.2"/>
    <n v="-204511.57"/>
    <n v="-269608.2"/>
    <s v="SGD"/>
    <x v="64"/>
    <s v="BS4167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598"/>
    <s v="BRTFWD"/>
    <s v="Y"/>
    <n v="-14241.01"/>
    <n v="-10423.969999999999"/>
    <n v="-14241.01"/>
    <s v="SGD"/>
    <x v="64"/>
    <s v="BS4167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754"/>
    <s v="OBTFER"/>
    <s v="Y"/>
    <n v="9206"/>
    <n v="6951.07"/>
    <n v="9206"/>
    <s v="SGD"/>
    <x v="32"/>
    <s v="BS10130"/>
    <s v="OJ"/>
    <s v="Opening Balance Transfer"/>
    <m/>
    <d v="2025-01-01T00:00:00"/>
    <m/>
    <d v="1899-12-30T00:43:57"/>
    <s v="Mini Nair"/>
    <d v="1899-12-30T00:43:57"/>
    <m/>
    <m/>
    <m/>
    <m/>
    <d v="1899-12-30T00:59:19"/>
    <s v="Yes"/>
    <s v="TRANSFER FROM 1100201"/>
  </r>
  <r>
    <s v="V70000095760"/>
    <s v="OBTFER"/>
    <s v="Y"/>
    <n v="9945.48"/>
    <n v="7454.66"/>
    <n v="9945.48"/>
    <s v="SGD"/>
    <x v="34"/>
    <s v="BS10540"/>
    <s v="OJ"/>
    <s v="Opening Balance Transfer"/>
    <m/>
    <d v="2025-01-01T00:00:00"/>
    <m/>
    <d v="1899-12-30T00:43:57"/>
    <s v="Mini Nair"/>
    <d v="1899-12-30T00:43:57"/>
    <m/>
    <m/>
    <m/>
    <m/>
    <d v="1899-12-30T00:44:11"/>
    <s v="Yes"/>
    <s v="TRANSFER TO 1110400"/>
  </r>
  <r>
    <s v="V70000095765"/>
    <s v="OBTFER"/>
    <s v="Y"/>
    <n v="-9945.48"/>
    <n v="-7454.66"/>
    <n v="-9945.48"/>
    <s v="SGD"/>
    <x v="33"/>
    <s v="BS10540"/>
    <s v="OJ"/>
    <s v="Opening Balance Transfer"/>
    <m/>
    <d v="2025-01-01T00:00:00"/>
    <m/>
    <d v="1899-12-30T00:43:57"/>
    <s v="Mini Nair"/>
    <d v="1899-12-30T00:43:57"/>
    <m/>
    <m/>
    <m/>
    <m/>
    <d v="1899-12-30T00:44:11"/>
    <s v="Yes"/>
    <s v="TRANSFER FROM 1110402"/>
  </r>
  <r>
    <s v="V70000095602"/>
    <s v="ROLCLR"/>
    <s v="Y"/>
    <n v="-136121.54999999999"/>
    <n v="-102000"/>
    <n v="-136121.54999999999"/>
    <m/>
    <x v="41"/>
    <s v="BS53000"/>
    <s v="OB"/>
    <s v="Opening Balance"/>
    <m/>
    <d v="2025-01-01T00:00:00"/>
    <m/>
    <d v="1899-12-30T00:43:57"/>
    <s v="Mini Nair"/>
    <d v="1899-12-30T00:43:57"/>
    <m/>
    <m/>
    <n v="6224"/>
    <m/>
    <d v="1899-12-30T00:44:11"/>
    <s v="Yes"/>
    <s v="Roll and Clear - 3302000"/>
  </r>
  <r>
    <s v="V70000095622"/>
    <s v="ROLCLR"/>
    <s v="Y"/>
    <n v="-134119.76"/>
    <n v="-100500"/>
    <n v="-134119.76"/>
    <m/>
    <x v="41"/>
    <s v="BS53000"/>
    <s v="OB"/>
    <s v="Opening Balance"/>
    <m/>
    <d v="2025-01-01T00:00:00"/>
    <m/>
    <d v="1899-12-30T00:43:57"/>
    <s v="Mini Nair"/>
    <d v="1899-12-30T00:43:57"/>
    <m/>
    <m/>
    <s v="CLTIFF"/>
    <m/>
    <d v="1899-12-30T00:44:11"/>
    <s v="Yes"/>
    <s v="Roll and Clear - 3302000"/>
  </r>
  <r>
    <s v="V70000095638"/>
    <s v="ROLCLR"/>
    <s v="Y"/>
    <n v="-50505.37"/>
    <n v="-38376"/>
    <n v="-50505.37"/>
    <m/>
    <x v="41"/>
    <s v="BS53000"/>
    <s v="OB"/>
    <s v="Opening Balance"/>
    <m/>
    <d v="2025-01-01T00:00:00"/>
    <m/>
    <d v="1899-12-30T00:43:57"/>
    <s v="Mini Nair"/>
    <d v="1899-12-30T00:43:57"/>
    <m/>
    <m/>
    <s v="hbras2"/>
    <m/>
    <d v="1899-12-30T00:44:11"/>
    <s v="Yes"/>
    <s v="Roll and Clear - 3302000"/>
  </r>
  <r>
    <s v="V70000095644"/>
    <s v="ROLCLR"/>
    <s v="Y"/>
    <n v="-50505.37"/>
    <n v="-38376"/>
    <n v="-50505.37"/>
    <m/>
    <x v="41"/>
    <s v="BS53000"/>
    <s v="OB"/>
    <s v="Opening Balance"/>
    <m/>
    <d v="2025-01-01T00:00:00"/>
    <m/>
    <d v="1899-12-30T00:43:57"/>
    <s v="Mini Nair"/>
    <d v="1899-12-30T00:43:57"/>
    <m/>
    <m/>
    <s v="HOESY"/>
    <m/>
    <d v="1899-12-30T00:44:11"/>
    <s v="Yes"/>
    <s v="Roll and Clear - 3302000"/>
  </r>
  <r>
    <s v="V70000095653"/>
    <s v="ROLCLR"/>
    <s v="Y"/>
    <n v="-79505.56"/>
    <n v="-59159.7"/>
    <n v="-79505.56"/>
    <m/>
    <x v="41"/>
    <s v="BS53000"/>
    <s v="OB"/>
    <s v="Opening Balance"/>
    <m/>
    <d v="2025-01-01T00:00:00"/>
    <m/>
    <d v="1899-12-30T00:43:57"/>
    <s v="Mini Nair"/>
    <d v="1899-12-30T00:43:57"/>
    <m/>
    <m/>
    <s v="narstr"/>
    <m/>
    <d v="1899-12-30T00:44:11"/>
    <s v="Yes"/>
    <s v="Roll and Clear - 3302000"/>
  </r>
  <r>
    <s v="V70000095654"/>
    <s v="ROLCLR"/>
    <s v="Y"/>
    <n v="-198691.33"/>
    <n v="-148772.53"/>
    <n v="-198691.33"/>
    <m/>
    <x v="41"/>
    <s v="BS53000"/>
    <s v="OB"/>
    <s v="Opening Balance"/>
    <m/>
    <d v="2025-01-01T00:00:00"/>
    <m/>
    <d v="1899-12-30T00:43:57"/>
    <s v="Mini Nair"/>
    <d v="1899-12-30T00:43:57"/>
    <m/>
    <m/>
    <s v="OCEETH"/>
    <m/>
    <d v="1899-12-30T00:44:11"/>
    <s v="Yes"/>
    <s v="Roll and Clear - 3302000"/>
  </r>
  <r>
    <s v="V70000095656"/>
    <s v="ROLCLR"/>
    <s v="Y"/>
    <n v="-171594.58"/>
    <n v="-128580"/>
    <n v="-171594.58"/>
    <m/>
    <x v="41"/>
    <s v="BS53000"/>
    <s v="OB"/>
    <s v="Opening Balance"/>
    <m/>
    <d v="2025-01-01T00:00:00"/>
    <m/>
    <d v="1899-12-30T00:43:57"/>
    <s v="Mini Nair"/>
    <d v="1899-12-30T00:43:57"/>
    <m/>
    <m/>
    <s v="OCETIA"/>
    <m/>
    <d v="1899-12-30T00:44:11"/>
    <s v="Yes"/>
    <s v="Roll and Clear - 3302000"/>
  </r>
  <r>
    <s v="V70000095673"/>
    <s v="ROLCLR"/>
    <s v="Y"/>
    <n v="-120153.75"/>
    <n v="-90000"/>
    <n v="-120153.75"/>
    <m/>
    <x v="41"/>
    <s v="BS53000"/>
    <s v="OB"/>
    <s v="Opening Balance"/>
    <m/>
    <d v="2025-01-01T00:00:00"/>
    <m/>
    <d v="1899-12-30T00:43:57"/>
    <s v="Mini Nair"/>
    <d v="1899-12-30T00:43:57"/>
    <m/>
    <m/>
    <s v="PROFOR"/>
    <m/>
    <d v="1899-12-30T00:44:11"/>
    <s v="Yes"/>
    <s v="Roll and Clear - 3302000"/>
  </r>
  <r>
    <s v="V70000095676"/>
    <s v="ROLCLR"/>
    <s v="Y"/>
    <n v="0"/>
    <n v="0"/>
    <n v="0"/>
    <m/>
    <x v="41"/>
    <s v="BS53000"/>
    <s v="OB"/>
    <s v="Opening Balance"/>
    <m/>
    <d v="2025-01-01T00:00:00"/>
    <m/>
    <d v="1899-12-30T00:43:57"/>
    <s v="Mini Nair"/>
    <d v="1899-12-30T00:43:57"/>
    <m/>
    <m/>
    <s v="PROPEL"/>
    <m/>
    <d v="1899-12-30T00:44:11"/>
    <s v="Yes"/>
    <s v="Roll and Clear - 3302000"/>
  </r>
  <r>
    <s v="V70000095680"/>
    <s v="ROLCLR"/>
    <s v="Y"/>
    <n v="-237634.92"/>
    <n v="-177999.96"/>
    <n v="-237634.92"/>
    <m/>
    <x v="41"/>
    <s v="BS53000"/>
    <s v="OB"/>
    <s v="Opening Balance"/>
    <m/>
    <d v="2025-01-01T00:00:00"/>
    <m/>
    <d v="1899-12-30T00:43:57"/>
    <s v="Mini Nair"/>
    <d v="1899-12-30T00:43:57"/>
    <m/>
    <m/>
    <s v="SAHGAS"/>
    <m/>
    <d v="1899-12-30T00:44:11"/>
    <s v="Yes"/>
    <s v="Roll and Clear - 3302000"/>
  </r>
  <r>
    <s v="V70000095681"/>
    <s v="ROLCLR"/>
    <s v="Y"/>
    <n v="-81157.08"/>
    <n v="-60368"/>
    <n v="-81157.08"/>
    <m/>
    <x v="41"/>
    <s v="BS53000"/>
    <s v="OB"/>
    <s v="Opening Balance"/>
    <m/>
    <d v="2025-01-01T00:00:00"/>
    <m/>
    <d v="1899-12-30T00:43:57"/>
    <s v="Mini Nair"/>
    <d v="1899-12-30T00:43:57"/>
    <m/>
    <m/>
    <s v="SAMCMG"/>
    <m/>
    <d v="1899-12-30T00:44:11"/>
    <s v="Yes"/>
    <s v="Roll and Clear - 3302000"/>
  </r>
  <r>
    <s v="V70000095683"/>
    <s v="ROLCLR"/>
    <s v="Y"/>
    <n v="-13471.15"/>
    <n v="-10219.35"/>
    <n v="-13471.15"/>
    <m/>
    <x v="41"/>
    <s v="BS53000"/>
    <s v="OB"/>
    <s v="Opening Balance"/>
    <m/>
    <d v="2025-01-01T00:00:00"/>
    <m/>
    <d v="1899-12-30T00:43:57"/>
    <s v="Mini Nair"/>
    <d v="1899-12-30T00:43:57"/>
    <m/>
    <m/>
    <s v="SAMEDD"/>
    <m/>
    <d v="1899-12-30T00:44:11"/>
    <s v="Yes"/>
    <s v="Roll and Clear - 3302000"/>
  </r>
  <r>
    <s v="V70000095684"/>
    <s v="ROLCLR"/>
    <s v="Y"/>
    <n v="-240955.53"/>
    <n v="-180549.96"/>
    <n v="-240955.53"/>
    <m/>
    <x v="41"/>
    <s v="BS53000"/>
    <s v="OB"/>
    <s v="Opening Balance"/>
    <m/>
    <d v="2025-01-01T00:00:00"/>
    <m/>
    <d v="1899-12-30T00:43:57"/>
    <s v="Mini Nair"/>
    <d v="1899-12-30T00:43:57"/>
    <m/>
    <m/>
    <s v="SAPEGA"/>
    <m/>
    <d v="1899-12-30T00:44:11"/>
    <s v="Yes"/>
    <s v="Roll and Clear - 3302000"/>
  </r>
  <r>
    <s v="V70000095688"/>
    <s v="ROLCLR"/>
    <s v="Y"/>
    <n v="-141459.04999999999"/>
    <n v="-105121.08"/>
    <n v="-141459.04999999999"/>
    <m/>
    <x v="41"/>
    <s v="BS53000"/>
    <s v="OB"/>
    <s v="Opening Balance"/>
    <m/>
    <d v="2025-01-01T00:00:00"/>
    <m/>
    <d v="1899-12-30T00:43:57"/>
    <s v="Mini Nair"/>
    <d v="1899-12-30T00:43:57"/>
    <m/>
    <m/>
    <s v="SINMAL"/>
    <m/>
    <d v="1899-12-30T00:44:11"/>
    <s v="Yes"/>
    <s v="Roll and Clear - 3302000"/>
  </r>
  <r>
    <s v="V70000095695"/>
    <s v="ROLCLR"/>
    <s v="Y"/>
    <n v="-122809.63"/>
    <n v="-91412.81"/>
    <n v="-122809.63"/>
    <m/>
    <x v="41"/>
    <s v="BS53000"/>
    <s v="OB"/>
    <s v="Opening Balance"/>
    <m/>
    <d v="2025-01-01T00:00:00"/>
    <m/>
    <d v="1899-12-30T00:43:57"/>
    <s v="Mini Nair"/>
    <d v="1899-12-30T00:43:57"/>
    <m/>
    <m/>
    <s v="TJZARA"/>
    <m/>
    <d v="1899-12-30T00:44:11"/>
    <s v="Yes"/>
    <s v="Roll and Clear - 3302000"/>
  </r>
  <r>
    <s v="V70000095704"/>
    <s v="ROLCLR"/>
    <s v="Y"/>
    <n v="-146189.1"/>
    <n v="-109500"/>
    <n v="-146189.1"/>
    <m/>
    <x v="41"/>
    <s v="BS53000"/>
    <s v="OB"/>
    <s v="Opening Balance"/>
    <m/>
    <d v="2025-01-01T00:00:00"/>
    <m/>
    <d v="1899-12-30T00:43:57"/>
    <s v="Mini Nair"/>
    <d v="1899-12-30T00:43:57"/>
    <m/>
    <m/>
    <s v="TSMAWE"/>
    <m/>
    <d v="1899-12-30T00:44:11"/>
    <s v="Yes"/>
    <s v="Roll and Clear - 3302000"/>
  </r>
  <r>
    <s v="V70000095748"/>
    <s v="ROLCLR"/>
    <s v="Y"/>
    <n v="-149642.07"/>
    <n v="-112231.92"/>
    <n v="-149642.07"/>
    <m/>
    <x v="41"/>
    <s v="BS53000"/>
    <s v="OB"/>
    <s v="Opening Balance"/>
    <m/>
    <d v="2025-01-01T00:00:00"/>
    <m/>
    <d v="1899-12-30T00:43:57"/>
    <s v="Mini Nair"/>
    <d v="1899-12-30T00:43:57"/>
    <m/>
    <m/>
    <s v="yochow"/>
    <m/>
    <d v="1899-12-30T00:44:11"/>
    <s v="Yes"/>
    <s v="Roll and Clear - 3302000"/>
  </r>
  <r>
    <s v="V70000095460"/>
    <s v="BRTFWD"/>
    <s v="Y"/>
    <n v="-11.52"/>
    <n v="-8.6"/>
    <n v="-11.52"/>
    <s v="SGD"/>
    <x v="60"/>
    <s v="BS22000"/>
    <s v="OB"/>
    <s v="Opening Balance"/>
    <m/>
    <d v="2025-01-01T00:00:00"/>
    <m/>
    <d v="1899-12-30T00:43:57"/>
    <s v="Mini Nair"/>
    <d v="1899-12-30T00:43:57"/>
    <m/>
    <m/>
    <s v="SAPRID"/>
    <m/>
    <d v="1899-12-30T00:44:11"/>
    <s v="Yes"/>
    <s v="Opening Balance"/>
  </r>
  <r>
    <s v="V70000095553"/>
    <s v="BRTFWD"/>
    <s v="Y"/>
    <n v="-244475.98"/>
    <n v="-180000"/>
    <n v="-244475.98"/>
    <s v="USD"/>
    <x v="49"/>
    <s v="BS33210"/>
    <s v="OB"/>
    <s v="Opening Balance"/>
    <m/>
    <d v="2025-01-01T00:00:00"/>
    <m/>
    <d v="1899-12-30T00:43:57"/>
    <s v="Mini Nair"/>
    <d v="1899-12-30T00:43:57"/>
    <m/>
    <m/>
    <s v="BRASSA"/>
    <m/>
    <d v="1899-12-30T00:44:11"/>
    <s v="Yes"/>
    <s v="Opening Balance"/>
  </r>
  <r>
    <s v="V70000095565"/>
    <s v="BRTFWD"/>
    <s v="Y"/>
    <n v="-13582"/>
    <n v="-10000"/>
    <n v="-13582"/>
    <s v="USD"/>
    <x v="49"/>
    <s v="BS33210"/>
    <s v="OB"/>
    <s v="Opening Balance"/>
    <m/>
    <d v="2025-01-01T00:00:00"/>
    <m/>
    <d v="1899-12-30T00:43:57"/>
    <s v="Mini Nair"/>
    <d v="1899-12-30T00:43:57"/>
    <m/>
    <m/>
    <s v="ZYJUHE"/>
    <m/>
    <d v="1899-12-30T00:44:11"/>
    <s v="Yes"/>
    <s v="Opening Balance"/>
  </r>
  <r>
    <s v="V70000095603"/>
    <s v="ROLCLR"/>
    <s v="Y"/>
    <n v="-237634.92"/>
    <n v="-177999.96"/>
    <n v="-237634.92"/>
    <m/>
    <x v="41"/>
    <s v="BS53000"/>
    <s v="OB"/>
    <s v="Opening Balance"/>
    <m/>
    <d v="2025-01-01T00:00:00"/>
    <m/>
    <d v="1899-12-30T00:43:57"/>
    <s v="Mini Nair"/>
    <d v="1899-12-30T00:43:57"/>
    <m/>
    <m/>
    <s v="AFRGAS"/>
    <m/>
    <d v="1899-12-30T00:44:11"/>
    <s v="Yes"/>
    <s v="Roll and Clear - 3302000"/>
  </r>
  <r>
    <s v="V70000095611"/>
    <s v="ROLCLR"/>
    <s v="Y"/>
    <n v="-1804.83"/>
    <n v="-1344.08"/>
    <n v="-1804.83"/>
    <m/>
    <x v="41"/>
    <s v="BS53000"/>
    <s v="OB"/>
    <s v="Opening Balance"/>
    <m/>
    <d v="2025-01-01T00:00:00"/>
    <m/>
    <d v="1899-12-30T00:43:57"/>
    <s v="Mini Nair"/>
    <d v="1899-12-30T00:43:57"/>
    <m/>
    <m/>
    <s v="ASIAEV"/>
    <m/>
    <d v="1899-12-30T00:44:11"/>
    <s v="Yes"/>
    <s v="Roll and Clear - 3302000"/>
  </r>
  <r>
    <s v="V70000095615"/>
    <s v="ROLCLR"/>
    <s v="Y"/>
    <n v="-290166.08"/>
    <n v="-217196"/>
    <n v="-290166.08"/>
    <m/>
    <x v="41"/>
    <s v="BS53000"/>
    <s v="OB"/>
    <s v="Opening Balance"/>
    <m/>
    <d v="2025-01-01T00:00:00"/>
    <m/>
    <d v="1899-12-30T00:43:57"/>
    <s v="Mini Nair"/>
    <d v="1899-12-30T00:43:57"/>
    <m/>
    <m/>
    <s v="BRASSA"/>
    <m/>
    <d v="1899-12-30T00:44:11"/>
    <s v="Yes"/>
    <s v="Roll and Clear - 3302000"/>
  </r>
  <r>
    <s v="V70000095624"/>
    <s v="ROLCLR"/>
    <s v="Y"/>
    <n v="-142754.21"/>
    <n v="-106175"/>
    <n v="-142754.21"/>
    <m/>
    <x v="41"/>
    <s v="BS53000"/>
    <s v="OB"/>
    <s v="Opening Balance"/>
    <m/>
    <d v="2025-01-01T00:00:00"/>
    <m/>
    <d v="1899-12-30T00:43:57"/>
    <s v="Mini Nair"/>
    <d v="1899-12-30T00:43:57"/>
    <m/>
    <m/>
    <s v="EASFAL"/>
    <m/>
    <d v="1899-12-30T00:44:11"/>
    <s v="Yes"/>
    <s v="Roll and Clear - 3302000"/>
  </r>
  <r>
    <s v="V70000095631"/>
    <s v="ROLCLR"/>
    <s v="Y"/>
    <n v="-73154.83"/>
    <n v="-54642.51"/>
    <n v="-73154.83"/>
    <m/>
    <x v="41"/>
    <s v="BS53000"/>
    <s v="OB"/>
    <s v="Opening Balance"/>
    <m/>
    <d v="2025-01-01T00:00:00"/>
    <m/>
    <d v="1899-12-30T00:43:57"/>
    <s v="Mini Nair"/>
    <d v="1899-12-30T00:43:57"/>
    <m/>
    <m/>
    <s v="EASPET"/>
    <m/>
    <d v="1899-12-30T00:44:11"/>
    <s v="Yes"/>
    <s v="Roll and Clear - 3302000"/>
  </r>
  <r>
    <s v="V70000095632"/>
    <s v="ROLCLR"/>
    <s v="Y"/>
    <n v="-33553.120000000003"/>
    <n v="-25666.68"/>
    <n v="-33553.120000000003"/>
    <m/>
    <x v="41"/>
    <s v="BS53000"/>
    <s v="OB"/>
    <s v="Opening Balance"/>
    <m/>
    <d v="2025-01-01T00:00:00"/>
    <m/>
    <d v="1899-12-30T00:43:57"/>
    <s v="Mini Nair"/>
    <d v="1899-12-30T00:43:57"/>
    <m/>
    <m/>
    <s v="FAIRSK"/>
    <m/>
    <d v="1899-12-30T00:44:11"/>
    <s v="Yes"/>
    <s v="Roll and Clear - 3302000"/>
  </r>
  <r>
    <s v="V70000095643"/>
    <s v="ROLCLR"/>
    <s v="Y"/>
    <n v="-130217.34"/>
    <n v="-97128"/>
    <n v="-130217.34"/>
    <m/>
    <x v="41"/>
    <s v="BS53000"/>
    <s v="OB"/>
    <s v="Opening Balance"/>
    <m/>
    <d v="2025-01-01T00:00:00"/>
    <m/>
    <d v="1899-12-30T00:43:57"/>
    <s v="Mini Nair"/>
    <d v="1899-12-30T00:43:57"/>
    <m/>
    <m/>
    <s v="HOEBRA"/>
    <m/>
    <d v="1899-12-30T00:44:11"/>
    <s v="Yes"/>
    <s v="Roll and Clear - 3302000"/>
  </r>
  <r>
    <s v="V70000095650"/>
    <s v="ROLCLR"/>
    <s v="Y"/>
    <n v="-138790.66"/>
    <n v="-104000.04"/>
    <n v="-138790.66"/>
    <m/>
    <x v="41"/>
    <s v="BS53000"/>
    <s v="OB"/>
    <s v="Opening Balance"/>
    <m/>
    <d v="2025-01-01T00:00:00"/>
    <m/>
    <d v="1899-12-30T00:43:57"/>
    <s v="Mini Nair"/>
    <d v="1899-12-30T00:43:57"/>
    <m/>
    <m/>
    <s v="MLHERO"/>
    <m/>
    <d v="1899-12-30T00:44:11"/>
    <s v="Yes"/>
    <s v="Roll and Clear - 3302000"/>
  </r>
  <r>
    <s v="V70000095655"/>
    <s v="ROLCLR"/>
    <s v="Y"/>
    <n v="-171594.58"/>
    <n v="-128580"/>
    <n v="-171594.58"/>
    <m/>
    <x v="41"/>
    <s v="BS53000"/>
    <s v="OB"/>
    <s v="Opening Balance"/>
    <m/>
    <d v="2025-01-01T00:00:00"/>
    <m/>
    <d v="1899-12-30T00:43:57"/>
    <s v="Mini Nair"/>
    <d v="1899-12-30T00:43:57"/>
    <m/>
    <m/>
    <s v="OCEOUT"/>
    <m/>
    <d v="1899-12-30T00:44:11"/>
    <s v="Yes"/>
    <s v="Roll and Clear - 3302000"/>
  </r>
  <r>
    <s v="V70000095661"/>
    <s v="ROLCLR"/>
    <s v="Y"/>
    <n v="-112100.1"/>
    <n v="-84000"/>
    <n v="-112100.1"/>
    <m/>
    <x v="41"/>
    <s v="BS53000"/>
    <s v="OB"/>
    <s v="Opening Balance"/>
    <m/>
    <d v="2025-01-01T00:00:00"/>
    <m/>
    <d v="1899-12-30T00:43:57"/>
    <s v="Mini Nair"/>
    <d v="1899-12-30T00:43:57"/>
    <m/>
    <m/>
    <s v="OSPREY"/>
    <m/>
    <d v="1899-12-30T00:44:11"/>
    <s v="Yes"/>
    <s v="Roll and Clear - 3302000"/>
  </r>
  <r>
    <s v="V70000095694"/>
    <s v="ROLCLR"/>
    <s v="Y"/>
    <n v="-206484.42"/>
    <n v="-154784.69"/>
    <n v="-206484.42"/>
    <m/>
    <x v="41"/>
    <s v="BS53000"/>
    <s v="OB"/>
    <s v="Opening Balance"/>
    <m/>
    <d v="2025-01-01T00:00:00"/>
    <m/>
    <d v="1899-12-30T00:43:57"/>
    <s v="Mini Nair"/>
    <d v="1899-12-30T00:43:57"/>
    <m/>
    <m/>
    <s v="SUDESS"/>
    <m/>
    <d v="1899-12-30T00:44:11"/>
    <s v="Yes"/>
    <s v="Roll and Clear - 3302000"/>
  </r>
  <r>
    <s v="V70000095698"/>
    <s v="ROLCLR"/>
    <s v="Y"/>
    <n v="-146189.1"/>
    <n v="-109500"/>
    <n v="-146189.1"/>
    <m/>
    <x v="41"/>
    <s v="BS53000"/>
    <s v="OB"/>
    <s v="Opening Balance"/>
    <m/>
    <d v="2025-01-01T00:00:00"/>
    <m/>
    <d v="1899-12-30T00:43:57"/>
    <s v="Mini Nair"/>
    <d v="1899-12-30T00:43:57"/>
    <m/>
    <m/>
    <s v="TSCHBA"/>
    <m/>
    <d v="1899-12-30T00:44:11"/>
    <s v="Yes"/>
    <s v="Roll and Clear - 3302000"/>
  </r>
  <r>
    <s v="V70000095750"/>
    <s v="ROLCLR"/>
    <s v="Y"/>
    <n v="-68071.63"/>
    <n v="-51425"/>
    <n v="-68071.63"/>
    <m/>
    <x v="41"/>
    <s v="BS53000"/>
    <s v="OB"/>
    <s v="Opening Balance"/>
    <m/>
    <d v="2025-01-01T00:00:00"/>
    <m/>
    <d v="1899-12-30T00:43:57"/>
    <s v="Mini Nair"/>
    <d v="1899-12-30T00:43:57"/>
    <m/>
    <m/>
    <s v="ZYJUHE"/>
    <m/>
    <d v="1899-12-30T00:44:11"/>
    <s v="Yes"/>
    <s v="Roll and Clear - 3302000"/>
  </r>
  <r>
    <s v="V70000095446"/>
    <s v="BRTFWD"/>
    <s v="Y"/>
    <n v="-570.89"/>
    <n v="-605.75"/>
    <n v="-570.89"/>
    <s v="SGD"/>
    <x v="60"/>
    <s v="BS22000"/>
    <s v="OB"/>
    <s v="Opening Balance"/>
    <m/>
    <d v="2025-01-01T00:00:00"/>
    <m/>
    <d v="1899-12-30T00:43:57"/>
    <s v="Mini Nair"/>
    <d v="1899-12-30T00:43:57"/>
    <m/>
    <m/>
    <s v="PROSHA"/>
    <m/>
    <d v="1899-12-30T00:44:11"/>
    <s v="Yes"/>
    <s v="Opening Balance"/>
  </r>
  <r>
    <s v="V70000095550"/>
    <s v="BRTFWD"/>
    <s v="Y"/>
    <n v="1358.2"/>
    <n v="1000"/>
    <n v="1358.2"/>
    <s v="USD"/>
    <x v="49"/>
    <s v="BS33210"/>
    <s v="OB"/>
    <s v="Opening Balance"/>
    <m/>
    <d v="2025-01-01T00:00:00"/>
    <m/>
    <d v="1899-12-30T00:43:57"/>
    <s v="Mini Nair"/>
    <d v="1899-12-30T00:43:57"/>
    <m/>
    <m/>
    <s v="AELEP"/>
    <m/>
    <d v="1899-12-30T00:44:11"/>
    <s v="Yes"/>
    <s v="Opening Balance"/>
  </r>
  <r>
    <s v="V70000095554"/>
    <s v="BRTFWD"/>
    <s v="Y"/>
    <n v="216442.75"/>
    <n v="159360"/>
    <n v="216442.75"/>
    <s v="USD"/>
    <x v="49"/>
    <s v="BS33210"/>
    <s v="OB"/>
    <s v="Opening Balance"/>
    <m/>
    <d v="2025-01-01T00:00:00"/>
    <m/>
    <d v="1899-12-30T00:43:57"/>
    <s v="Mini Nair"/>
    <d v="1899-12-30T00:43:57"/>
    <m/>
    <m/>
    <s v="BULHAL"/>
    <m/>
    <d v="1899-12-30T00:44:11"/>
    <s v="Yes"/>
    <s v="Opening Balance"/>
  </r>
  <r>
    <s v="V70000095555"/>
    <s v="BRTFWD"/>
    <s v="Y"/>
    <n v="216442.75"/>
    <n v="159360"/>
    <n v="216442.75"/>
    <s v="USD"/>
    <x v="49"/>
    <s v="BS33210"/>
    <s v="OB"/>
    <s v="Opening Balance"/>
    <m/>
    <d v="2025-01-01T00:00:00"/>
    <m/>
    <d v="1899-12-30T00:43:57"/>
    <s v="Mini Nair"/>
    <d v="1899-12-30T00:43:57"/>
    <m/>
    <m/>
    <s v="BULNUS"/>
    <m/>
    <d v="1899-12-30T00:44:11"/>
    <s v="Yes"/>
    <s v="Opening Balance"/>
  </r>
  <r>
    <s v="V70000095562"/>
    <s v="BRTFWD"/>
    <s v="Y"/>
    <n v="-135820"/>
    <n v="-100000"/>
    <n v="-135820"/>
    <s v="USD"/>
    <x v="49"/>
    <s v="BS33210"/>
    <s v="OB"/>
    <s v="Opening Balance"/>
    <m/>
    <d v="2025-01-01T00:00:00"/>
    <m/>
    <d v="1899-12-30T00:43:57"/>
    <s v="Mini Nair"/>
    <d v="1899-12-30T00:43:57"/>
    <m/>
    <m/>
    <s v="onealp"/>
    <m/>
    <d v="1899-12-30T00:44:11"/>
    <s v="Yes"/>
    <s v="Opening Balance"/>
  </r>
  <r>
    <s v="V70000095312"/>
    <s v="BRTFWD"/>
    <s v="Y"/>
    <n v="-955"/>
    <n v="-712.9"/>
    <n v="-955"/>
    <s v="SGD"/>
    <x v="60"/>
    <s v="BS22000"/>
    <s v="OB"/>
    <s v="Opening Balance"/>
    <m/>
    <d v="2025-01-01T00:00:00"/>
    <m/>
    <d v="1899-12-30T00:43:57"/>
    <s v="Mini Nair"/>
    <d v="1899-12-30T00:43:57"/>
    <m/>
    <m/>
    <s v="ADAFE"/>
    <m/>
    <d v="1899-12-30T00:44:11"/>
    <s v="Yes"/>
    <s v="Opening Balance"/>
  </r>
  <r>
    <s v="V70000095325"/>
    <s v="BRTFWD"/>
    <s v="Y"/>
    <n v="-79.260000000000005"/>
    <n v="-59.17"/>
    <n v="-79.260000000000005"/>
    <s v="SGD"/>
    <x v="60"/>
    <s v="BS22000"/>
    <s v="OB"/>
    <s v="Opening Balance"/>
    <m/>
    <d v="2025-01-01T00:00:00"/>
    <m/>
    <d v="1899-12-30T00:43:57"/>
    <s v="Mini Nair"/>
    <d v="1899-12-30T00:43:57"/>
    <m/>
    <m/>
    <s v="AUGUS"/>
    <m/>
    <d v="1899-12-30T00:44:11"/>
    <s v="Yes"/>
    <s v="Opening Balance"/>
  </r>
  <r>
    <s v="V70000095330"/>
    <s v="BRTFWD"/>
    <s v="Y"/>
    <n v="515.89"/>
    <n v="385.11"/>
    <n v="515.89"/>
    <s v="SGD"/>
    <x v="60"/>
    <s v="BS22000"/>
    <s v="OB"/>
    <s v="Opening Balance"/>
    <m/>
    <d v="2025-01-01T00:00:00"/>
    <m/>
    <d v="1899-12-30T00:43:57"/>
    <s v="Mini Nair"/>
    <d v="1899-12-30T00:43:57"/>
    <m/>
    <m/>
    <s v="BCGRAC"/>
    <m/>
    <d v="1899-12-30T00:44:11"/>
    <s v="Yes"/>
    <s v="Opening Balance"/>
  </r>
  <r>
    <s v="V70000095343"/>
    <s v="BRTFWD"/>
    <s v="Y"/>
    <n v="-14.06"/>
    <n v="-10.57"/>
    <n v="-14.06"/>
    <s v="SGD"/>
    <x v="60"/>
    <s v="BS22000"/>
    <s v="OB"/>
    <s v="Opening Balance"/>
    <m/>
    <d v="2025-01-01T00:00:00"/>
    <m/>
    <d v="1899-12-30T00:43:57"/>
    <s v="Mini Nair"/>
    <d v="1899-12-30T00:43:57"/>
    <m/>
    <m/>
    <s v="CLGRAC"/>
    <m/>
    <d v="1899-12-30T00:44:11"/>
    <s v="Yes"/>
    <s v="Opening Balance"/>
  </r>
  <r>
    <s v="V70000095348"/>
    <s v="BRTFWD"/>
    <s v="Y"/>
    <n v="-31.89"/>
    <n v="-23.81"/>
    <n v="-31.89"/>
    <s v="SGD"/>
    <x v="60"/>
    <s v="BS22000"/>
    <s v="OB"/>
    <s v="Opening Balance"/>
    <m/>
    <d v="2025-01-01T00:00:00"/>
    <m/>
    <d v="1899-12-30T00:43:57"/>
    <s v="Mini Nair"/>
    <d v="1899-12-30T00:43:57"/>
    <m/>
    <m/>
    <s v="CRESTO"/>
    <m/>
    <d v="1899-12-30T00:44:11"/>
    <s v="Yes"/>
    <s v="Opening Balance"/>
  </r>
  <r>
    <s v="V70000095356"/>
    <s v="BRTFWD"/>
    <s v="Y"/>
    <n v="-600.96"/>
    <n v="-444.44"/>
    <n v="-600.96"/>
    <s v="SGD"/>
    <x v="60"/>
    <s v="BS22000"/>
    <s v="OB"/>
    <s v="Opening Balance"/>
    <m/>
    <d v="2025-01-01T00:00:00"/>
    <m/>
    <d v="1899-12-30T00:43:57"/>
    <s v="Mini Nair"/>
    <d v="1899-12-30T00:43:57"/>
    <m/>
    <m/>
    <s v="EASHAW"/>
    <m/>
    <d v="1899-12-30T00:44:11"/>
    <s v="Yes"/>
    <s v="Opening Balance"/>
  </r>
  <r>
    <s v="V70000095360"/>
    <s v="BRTFWD"/>
    <s v="Y"/>
    <n v="-281.33999999999997"/>
    <n v="-207"/>
    <n v="-281.33999999999997"/>
    <s v="SGD"/>
    <x v="60"/>
    <s v="BS22000"/>
    <s v="OB"/>
    <s v="Opening Balance"/>
    <m/>
    <d v="2025-01-01T00:00:00"/>
    <m/>
    <d v="1899-12-30T00:43:57"/>
    <s v="Mini Nair"/>
    <d v="1899-12-30T00:43:57"/>
    <m/>
    <m/>
    <s v="EASORC"/>
    <m/>
    <d v="1899-12-30T00:44:11"/>
    <s v="Yes"/>
    <s v="Opening Balance"/>
  </r>
  <r>
    <s v="V70000095370"/>
    <s v="BRTFWD"/>
    <s v="Y"/>
    <n v="-48.6"/>
    <n v="-36.08"/>
    <n v="-48.6"/>
    <s v="SGD"/>
    <x v="60"/>
    <s v="BS22000"/>
    <s v="OB"/>
    <s v="Opening Balance"/>
    <m/>
    <d v="2025-01-01T00:00:00"/>
    <m/>
    <d v="1899-12-30T00:43:57"/>
    <s v="Mini Nair"/>
    <d v="1899-12-30T00:43:57"/>
    <m/>
    <m/>
    <s v="GCHIO"/>
    <m/>
    <d v="1899-12-30T00:44:11"/>
    <s v="Yes"/>
    <s v="Opening Balance"/>
  </r>
  <r>
    <s v="V70000095392"/>
    <s v="BRTFWD"/>
    <s v="Y"/>
    <n v="-2800.07"/>
    <n v="-2073.69"/>
    <n v="-2800.07"/>
    <s v="SGD"/>
    <x v="60"/>
    <s v="BS22000"/>
    <s v="OB"/>
    <s v="Opening Balance"/>
    <m/>
    <d v="2025-01-01T00:00:00"/>
    <m/>
    <d v="1899-12-30T00:43:57"/>
    <s v="Mini Nair"/>
    <d v="1899-12-30T00:43:57"/>
    <m/>
    <m/>
    <s v="KKMARL"/>
    <m/>
    <d v="1899-12-30T00:44:11"/>
    <s v="Yes"/>
    <s v="Opening Balance"/>
  </r>
  <r>
    <s v="V70000095403"/>
    <s v="BRTFWD"/>
    <s v="Y"/>
    <n v="55.31"/>
    <n v="41.29"/>
    <n v="55.31"/>
    <s v="SGD"/>
    <x v="60"/>
    <s v="BS22000"/>
    <s v="OB"/>
    <s v="Opening Balance"/>
    <m/>
    <d v="2025-01-01T00:00:00"/>
    <m/>
    <d v="1899-12-30T00:43:57"/>
    <s v="Mini Nair"/>
    <d v="1899-12-30T00:43:57"/>
    <m/>
    <m/>
    <s v="MLSWAL"/>
    <m/>
    <d v="1899-12-30T00:44:11"/>
    <s v="Yes"/>
    <s v="Opening Balance"/>
  </r>
  <r>
    <s v="V70000095411"/>
    <s v="BRTFWD"/>
    <s v="Y"/>
    <n v="413.44"/>
    <n v="307.76"/>
    <n v="413.44"/>
    <s v="SGD"/>
    <x v="60"/>
    <s v="BS22000"/>
    <s v="OB"/>
    <s v="Opening Balance"/>
    <m/>
    <d v="2025-01-01T00:00:00"/>
    <m/>
    <d v="1899-12-30T00:43:57"/>
    <s v="Mini Nair"/>
    <d v="1899-12-30T00:43:57"/>
    <m/>
    <m/>
    <s v="OCEARO"/>
    <m/>
    <d v="1899-12-30T00:44:11"/>
    <s v="Yes"/>
    <s v="Opening Balance"/>
  </r>
  <r>
    <s v="V70000095431"/>
    <s v="BRTFWD"/>
    <s v="Y"/>
    <n v="-1.62"/>
    <n v="-1.5"/>
    <n v="-1.62"/>
    <s v="SGD"/>
    <x v="60"/>
    <s v="BS22000"/>
    <s v="OB"/>
    <s v="Opening Balance"/>
    <m/>
    <d v="2025-01-01T00:00:00"/>
    <m/>
    <d v="1899-12-30T00:43:57"/>
    <s v="Mini Nair"/>
    <d v="1899-12-30T00:43:57"/>
    <m/>
    <m/>
    <s v="OTIANC"/>
    <m/>
    <d v="1899-12-30T00:44:11"/>
    <s v="Yes"/>
    <s v="Opening Balance"/>
  </r>
  <r>
    <s v="V70000095435"/>
    <s v="BRTFWD"/>
    <s v="Y"/>
    <n v="-3046.73"/>
    <n v="-2273.14"/>
    <n v="-3046.73"/>
    <s v="SGD"/>
    <x v="60"/>
    <s v="BS22000"/>
    <s v="OB"/>
    <s v="Opening Balance"/>
    <m/>
    <d v="2025-01-01T00:00:00"/>
    <m/>
    <d v="1899-12-30T00:43:57"/>
    <s v="Mini Nair"/>
    <d v="1899-12-30T00:43:57"/>
    <m/>
    <m/>
    <s v="PAMP02"/>
    <m/>
    <d v="1899-12-30T00:44:11"/>
    <s v="Yes"/>
    <s v="Opening Balance"/>
  </r>
  <r>
    <s v="V70000095436"/>
    <s v="BRTFWD"/>
    <s v="Y"/>
    <n v="1250.24"/>
    <n v="933.64"/>
    <n v="1250.24"/>
    <s v="SGD"/>
    <x v="60"/>
    <s v="BS22000"/>
    <s v="OB"/>
    <s v="Opening Balance"/>
    <m/>
    <d v="2025-01-01T00:00:00"/>
    <m/>
    <d v="1899-12-30T00:43:57"/>
    <s v="Mini Nair"/>
    <d v="1899-12-30T00:43:57"/>
    <m/>
    <m/>
    <s v="PARADW"/>
    <m/>
    <d v="1899-12-30T00:44:11"/>
    <s v="Yes"/>
    <s v="Opening Balance"/>
  </r>
  <r>
    <s v="V70000095461"/>
    <s v="BRTFWD"/>
    <s v="Y"/>
    <n v="-472.07"/>
    <n v="-350.33"/>
    <n v="-472.07"/>
    <s v="SGD"/>
    <x v="60"/>
    <s v="BS22000"/>
    <s v="OB"/>
    <s v="Opening Balance"/>
    <m/>
    <d v="2025-01-01T00:00:00"/>
    <m/>
    <d v="1899-12-30T00:43:57"/>
    <s v="Mini Nair"/>
    <d v="1899-12-30T00:43:57"/>
    <m/>
    <m/>
    <s v="SCALLI"/>
    <m/>
    <d v="1899-12-30T00:44:11"/>
    <s v="Yes"/>
    <s v="Opening Balance"/>
  </r>
  <r>
    <s v="V70000095476"/>
    <s v="BRTFWD"/>
    <s v="Y"/>
    <n v="4.18"/>
    <n v="3.12"/>
    <n v="4.18"/>
    <s v="SGD"/>
    <x v="60"/>
    <s v="BS22000"/>
    <s v="OB"/>
    <s v="Opening Balance"/>
    <m/>
    <d v="2025-01-01T00:00:00"/>
    <m/>
    <d v="1899-12-30T00:43:57"/>
    <s v="Mini Nair"/>
    <d v="1899-12-30T00:43:57"/>
    <m/>
    <m/>
    <s v="TEBY"/>
    <m/>
    <d v="1899-12-30T00:44:11"/>
    <s v="Yes"/>
    <s v="Opening Balance"/>
  </r>
  <r>
    <s v="V70000095483"/>
    <s v="BRTFWD"/>
    <s v="Y"/>
    <n v="13.59"/>
    <n v="-29.68"/>
    <n v="13.59"/>
    <s v="SGD"/>
    <x v="60"/>
    <s v="BS22000"/>
    <s v="OB"/>
    <s v="Opening Balance"/>
    <m/>
    <d v="2025-01-01T00:00:00"/>
    <m/>
    <d v="1899-12-30T00:43:57"/>
    <s v="Mini Nair"/>
    <d v="1899-12-30T00:43:57"/>
    <m/>
    <m/>
    <s v="WAH529"/>
    <m/>
    <d v="1899-12-30T00:44:11"/>
    <s v="Yes"/>
    <s v="Opening Balance"/>
  </r>
  <r>
    <s v="V70000095484"/>
    <s v="BRTFWD"/>
    <s v="Y"/>
    <n v="-488.42"/>
    <n v="-364.6"/>
    <n v="-488.42"/>
    <s v="SGD"/>
    <x v="60"/>
    <s v="BS22000"/>
    <s v="OB"/>
    <s v="Opening Balance"/>
    <m/>
    <d v="2025-01-01T00:00:00"/>
    <m/>
    <d v="1899-12-30T00:43:57"/>
    <s v="Mini Nair"/>
    <d v="1899-12-30T00:43:57"/>
    <m/>
    <m/>
    <s v="WIGMOR"/>
    <m/>
    <d v="1899-12-30T00:44:11"/>
    <s v="Yes"/>
    <s v="Opening Balance"/>
  </r>
  <r>
    <s v="V70000095492"/>
    <s v="BRTFWD"/>
    <s v="Y"/>
    <n v="15.97"/>
    <n v="11.92"/>
    <n v="15.97"/>
    <s v="SGD"/>
    <x v="60"/>
    <s v="BS22000"/>
    <s v="OB"/>
    <s v="Opening Balance"/>
    <m/>
    <d v="2025-01-01T00:00:00"/>
    <m/>
    <d v="1899-12-30T00:43:57"/>
    <s v="Mini Nair"/>
    <d v="1899-12-30T00:43:57"/>
    <m/>
    <m/>
    <s v="yang17"/>
    <m/>
    <d v="1899-12-30T00:44:11"/>
    <s v="Yes"/>
    <s v="Opening Balance"/>
  </r>
  <r>
    <s v="V70000095340"/>
    <s v="BRTFWD"/>
    <s v="Y"/>
    <n v="-68.25"/>
    <n v="-50.95"/>
    <n v="-68.25"/>
    <s v="SGD"/>
    <x v="60"/>
    <s v="BS22000"/>
    <s v="OB"/>
    <s v="Opening Balance"/>
    <m/>
    <d v="2025-01-01T00:00:00"/>
    <m/>
    <d v="1899-12-30T00:43:57"/>
    <s v="Mini Nair"/>
    <d v="1899-12-30T00:43:57"/>
    <m/>
    <m/>
    <s v="CHESUN"/>
    <m/>
    <d v="1899-12-30T00:44:11"/>
    <s v="Yes"/>
    <s v="Opening Balance"/>
  </r>
  <r>
    <s v="V70000095345"/>
    <s v="BRTFWD"/>
    <s v="Y"/>
    <n v="-1.29"/>
    <n v="-0.96"/>
    <n v="-1.29"/>
    <s v="SGD"/>
    <x v="60"/>
    <s v="BS22000"/>
    <s v="OB"/>
    <s v="Opening Balance"/>
    <m/>
    <d v="2025-01-01T00:00:00"/>
    <m/>
    <d v="1899-12-30T00:43:57"/>
    <s v="Mini Nair"/>
    <d v="1899-12-30T00:43:57"/>
    <m/>
    <m/>
    <s v="CLTIFF"/>
    <m/>
    <d v="1899-12-30T00:44:11"/>
    <s v="Yes"/>
    <s v="Opening Balance"/>
  </r>
  <r>
    <s v="V70000095355"/>
    <s v="BRTFWD"/>
    <s v="Y"/>
    <n v="-5042.3599999999997"/>
    <n v="-3744.2"/>
    <n v="-5042.3599999999997"/>
    <s v="SGD"/>
    <x v="60"/>
    <s v="BS22000"/>
    <s v="OB"/>
    <s v="Opening Balance"/>
    <m/>
    <d v="2025-01-01T00:00:00"/>
    <m/>
    <d v="1899-12-30T00:43:57"/>
    <s v="Mini Nair"/>
    <d v="1899-12-30T00:43:57"/>
    <m/>
    <m/>
    <s v="EASGAR"/>
    <m/>
    <d v="1899-12-30T00:44:11"/>
    <s v="Yes"/>
    <s v="Opening Balance"/>
  </r>
  <r>
    <s v="V70000095393"/>
    <s v="BRTFWD"/>
    <s v="Y"/>
    <n v="-687.15"/>
    <n v="-517.1"/>
    <n v="-687.15"/>
    <s v="SGD"/>
    <x v="60"/>
    <s v="BS22000"/>
    <s v="OB"/>
    <s v="Opening Balance"/>
    <m/>
    <d v="2025-01-01T00:00:00"/>
    <m/>
    <d v="1899-12-30T00:43:57"/>
    <s v="Mini Nair"/>
    <d v="1899-12-30T00:43:57"/>
    <m/>
    <m/>
    <s v="KRBORG"/>
    <m/>
    <d v="1899-12-30T00:44:11"/>
    <s v="Yes"/>
    <s v="Opening Balance"/>
  </r>
  <r>
    <s v="V70000095415"/>
    <s v="BRTFWD"/>
    <s v="Y"/>
    <n v="879.64"/>
    <n v="656.64"/>
    <n v="879.64"/>
    <s v="SGD"/>
    <x v="60"/>
    <s v="BS22000"/>
    <s v="OB"/>
    <s v="Opening Balance"/>
    <m/>
    <d v="2025-01-01T00:00:00"/>
    <m/>
    <d v="1899-12-30T00:43:57"/>
    <s v="Mini Nair"/>
    <d v="1899-12-30T00:43:57"/>
    <m/>
    <m/>
    <s v="OCEJUP"/>
    <m/>
    <d v="1899-12-30T00:44:11"/>
    <s v="Yes"/>
    <s v="Opening Balance"/>
  </r>
  <r>
    <s v="V70000095423"/>
    <s v="BRTFWD"/>
    <s v="Y"/>
    <n v="-526.49"/>
    <n v="-484.3"/>
    <n v="-526.49"/>
    <s v="SGD"/>
    <x v="60"/>
    <s v="BS22000"/>
    <s v="OB"/>
    <s v="Opening Balance"/>
    <m/>
    <d v="2025-01-01T00:00:00"/>
    <m/>
    <d v="1899-12-30T00:43:57"/>
    <s v="Mini Nair"/>
    <d v="1899-12-30T00:43:57"/>
    <m/>
    <m/>
    <s v="OCETIA"/>
    <m/>
    <d v="1899-12-30T00:44:11"/>
    <s v="Yes"/>
    <s v="Opening Balance"/>
  </r>
  <r>
    <s v="V70000095426"/>
    <s v="BRTFWD"/>
    <s v="Y"/>
    <n v="-1415.81"/>
    <n v="-1056.51"/>
    <n v="-1415.81"/>
    <s v="SGD"/>
    <x v="60"/>
    <s v="BS22000"/>
    <s v="OB"/>
    <s v="Opening Balance"/>
    <m/>
    <d v="2025-01-01T00:00:00"/>
    <m/>
    <d v="1899-12-30T00:43:57"/>
    <s v="Mini Nair"/>
    <d v="1899-12-30T00:43:57"/>
    <m/>
    <m/>
    <s v="OCPREM"/>
    <m/>
    <d v="1899-12-30T00:44:11"/>
    <s v="Yes"/>
    <s v="Opening Balance"/>
  </r>
  <r>
    <s v="V70000095440"/>
    <s v="BRTFWD"/>
    <s v="Y"/>
    <n v="-85.72"/>
    <n v="-105.23"/>
    <n v="-85.72"/>
    <s v="SGD"/>
    <x v="60"/>
    <s v="BS22000"/>
    <s v="OB"/>
    <s v="Opening Balance"/>
    <m/>
    <d v="2025-01-01T00:00:00"/>
    <m/>
    <d v="1899-12-30T00:43:57"/>
    <s v="Mini Nair"/>
    <d v="1899-12-30T00:43:57"/>
    <m/>
    <m/>
    <s v="PROFOR"/>
    <m/>
    <d v="1899-12-30T00:44:11"/>
    <s v="Yes"/>
    <s v="Opening Balance"/>
  </r>
  <r>
    <s v="V70000095444"/>
    <s v="BRTFWD"/>
    <s v="Y"/>
    <n v="12.81"/>
    <n v="15.56"/>
    <n v="12.81"/>
    <s v="SGD"/>
    <x v="60"/>
    <s v="BS22000"/>
    <s v="OB"/>
    <s v="Opening Balance"/>
    <m/>
    <d v="2025-01-01T00:00:00"/>
    <m/>
    <d v="1899-12-30T00:43:57"/>
    <s v="Mini Nair"/>
    <d v="1899-12-30T00:43:57"/>
    <m/>
    <m/>
    <s v="PROPEL"/>
    <m/>
    <d v="1899-12-30T00:44:11"/>
    <s v="Yes"/>
    <s v="Opening Balance"/>
  </r>
  <r>
    <s v="V70000095448"/>
    <s v="BRTFWD"/>
    <s v="Y"/>
    <n v="-3200.22"/>
    <n v="-2388.94"/>
    <n v="-3200.22"/>
    <s v="SGD"/>
    <x v="60"/>
    <s v="BS22000"/>
    <s v="OB"/>
    <s v="Opening Balance"/>
    <m/>
    <d v="2025-01-01T00:00:00"/>
    <m/>
    <d v="1899-12-30T00:43:57"/>
    <s v="Mini Nair"/>
    <d v="1899-12-30T00:43:57"/>
    <m/>
    <m/>
    <s v="QUENES"/>
    <m/>
    <d v="1899-12-30T00:44:11"/>
    <s v="Yes"/>
    <s v="Opening Balance"/>
  </r>
  <r>
    <s v="V70000095453"/>
    <s v="BRTFWD"/>
    <s v="Y"/>
    <n v="-1393.51"/>
    <n v="-1011.7"/>
    <n v="-1393.51"/>
    <s v="SGD"/>
    <x v="60"/>
    <s v="BS22000"/>
    <s v="OB"/>
    <s v="Opening Balance"/>
    <m/>
    <d v="2025-01-01T00:00:00"/>
    <m/>
    <d v="1899-12-30T00:43:57"/>
    <s v="Mini Nair"/>
    <d v="1899-12-30T00:43:57"/>
    <m/>
    <m/>
    <s v="SAHGAS"/>
    <m/>
    <d v="1899-12-30T00:44:11"/>
    <s v="Yes"/>
    <s v="Opening Balance"/>
  </r>
  <r>
    <s v="V70000095454"/>
    <s v="BRTFWD"/>
    <s v="Y"/>
    <n v="25.92"/>
    <n v="7.18"/>
    <n v="25.92"/>
    <s v="SGD"/>
    <x v="60"/>
    <s v="BS22000"/>
    <s v="OB"/>
    <s v="Opening Balance"/>
    <m/>
    <d v="2025-01-01T00:00:00"/>
    <m/>
    <d v="1899-12-30T00:43:57"/>
    <s v="Mini Nair"/>
    <d v="1899-12-30T00:43:57"/>
    <m/>
    <m/>
    <s v="SAMCMG"/>
    <m/>
    <d v="1899-12-30T00:44:11"/>
    <s v="Yes"/>
    <s v="Opening Balance"/>
  </r>
  <r>
    <s v="V70000095456"/>
    <s v="BRTFWD"/>
    <s v="Y"/>
    <n v="269.39999999999998"/>
    <n v="201.1"/>
    <n v="269.39999999999998"/>
    <s v="SGD"/>
    <x v="60"/>
    <s v="BS22000"/>
    <s v="OB"/>
    <s v="Opening Balance"/>
    <m/>
    <d v="2025-01-01T00:00:00"/>
    <m/>
    <d v="1899-12-30T00:43:57"/>
    <s v="Mini Nair"/>
    <d v="1899-12-30T00:43:57"/>
    <m/>
    <m/>
    <s v="SAMEDD"/>
    <m/>
    <d v="1899-12-30T00:44:11"/>
    <s v="Yes"/>
    <s v="Opening Balance"/>
  </r>
  <r>
    <s v="V70000095459"/>
    <s v="BRTFWD"/>
    <s v="Y"/>
    <n v="-540.67999999999995"/>
    <n v="-383.82"/>
    <n v="-540.67999999999995"/>
    <s v="SGD"/>
    <x v="60"/>
    <s v="BS22000"/>
    <s v="OB"/>
    <s v="Opening Balance"/>
    <m/>
    <d v="2025-01-01T00:00:00"/>
    <m/>
    <d v="1899-12-30T00:43:57"/>
    <s v="Mini Nair"/>
    <d v="1899-12-30T00:43:57"/>
    <m/>
    <m/>
    <s v="SAPEGA"/>
    <m/>
    <d v="1899-12-30T00:44:11"/>
    <s v="Yes"/>
    <s v="Opening Balance"/>
  </r>
  <r>
    <s v="V70000095466"/>
    <s v="BRTFWD"/>
    <s v="Y"/>
    <n v="-668.75"/>
    <n v="-489.89"/>
    <n v="-668.75"/>
    <s v="SGD"/>
    <x v="60"/>
    <s v="BS22000"/>
    <s v="OB"/>
    <s v="Opening Balance"/>
    <m/>
    <d v="2025-01-01T00:00:00"/>
    <m/>
    <d v="1899-12-30T00:43:57"/>
    <s v="Mini Nair"/>
    <d v="1899-12-30T00:43:57"/>
    <m/>
    <m/>
    <s v="SINMAL"/>
    <m/>
    <d v="1899-12-30T00:44:11"/>
    <s v="Yes"/>
    <s v="Opening Balance"/>
  </r>
  <r>
    <s v="V70000095472"/>
    <s v="BRTFWD"/>
    <s v="Y"/>
    <n v="1185.56"/>
    <n v="866.71"/>
    <n v="1185.56"/>
    <s v="SGD"/>
    <x v="60"/>
    <s v="BS22000"/>
    <s v="OB"/>
    <s v="Opening Balance"/>
    <m/>
    <d v="2025-01-01T00:00:00"/>
    <m/>
    <d v="1899-12-30T00:43:57"/>
    <s v="Mini Nair"/>
    <d v="1899-12-30T00:43:57"/>
    <m/>
    <m/>
    <s v="TAMPAT"/>
    <m/>
    <d v="1899-12-30T00:44:11"/>
    <s v="Yes"/>
    <s v="Opening Balance"/>
  </r>
  <r>
    <s v="V70000095479"/>
    <s v="BRTFWD"/>
    <s v="Y"/>
    <n v="11695.5"/>
    <n v="8730.59"/>
    <n v="11695.5"/>
    <s v="SGD"/>
    <x v="60"/>
    <s v="BS22000"/>
    <s v="OB"/>
    <s v="Opening Balance"/>
    <m/>
    <d v="2025-01-01T00:00:00"/>
    <m/>
    <d v="1899-12-30T00:43:57"/>
    <s v="Mini Nair"/>
    <d v="1899-12-30T00:43:57"/>
    <m/>
    <m/>
    <s v="TTANV1"/>
    <m/>
    <d v="1899-12-30T00:44:11"/>
    <s v="Yes"/>
    <s v="Opening Balance"/>
  </r>
  <r>
    <s v="V70000095567"/>
    <s v="BRTFWD"/>
    <s v="Y"/>
    <n v="-42762.080000000002"/>
    <n v="-31484.38"/>
    <n v="-42762.080000000002"/>
    <s v="EUR"/>
    <x v="65"/>
    <s v="BS33200"/>
    <s v="OB"/>
    <s v="Opening Balance"/>
    <m/>
    <d v="2025-01-01T00:00:00"/>
    <m/>
    <d v="1899-12-30T00:43:57"/>
    <s v="Mini Nair"/>
    <d v="1899-12-30T00:43:57"/>
    <m/>
    <m/>
    <s v="yochow"/>
    <m/>
    <d v="1899-12-30T00:44:11"/>
    <s v="Yes"/>
    <s v="Opening Balance"/>
  </r>
  <r>
    <s v="V70000095306"/>
    <s v="BRTFWD"/>
    <s v="Y"/>
    <n v="16075.75"/>
    <n v="11836.07"/>
    <n v="16075.75"/>
    <s v="USD"/>
    <x v="15"/>
    <s v="BS25400"/>
    <s v="OB"/>
    <s v="Opening Balance"/>
    <m/>
    <d v="2025-01-01T00:00:00"/>
    <m/>
    <d v="1899-12-30T00:43:57"/>
    <s v="Mini Nair"/>
    <d v="1899-12-30T00:43:57"/>
    <m/>
    <m/>
    <s v="EASPET"/>
    <m/>
    <d v="1899-12-30T00:44:11"/>
    <s v="Yes"/>
    <s v="Opening Balance"/>
  </r>
  <r>
    <s v="V70000095470"/>
    <s v="BRTFWD"/>
    <s v="Y"/>
    <n v="-1200.1600000000001"/>
    <n v="-864.55"/>
    <n v="-1200.1600000000001"/>
    <s v="SGD"/>
    <x v="60"/>
    <s v="BS22000"/>
    <s v="OB"/>
    <s v="Opening Balance"/>
    <m/>
    <d v="2025-01-01T00:00:00"/>
    <m/>
    <d v="1899-12-30T00:43:57"/>
    <s v="Mini Nair"/>
    <d v="1899-12-30T00:43:57"/>
    <m/>
    <m/>
    <s v="SUDESS"/>
    <m/>
    <d v="1899-12-30T00:44:11"/>
    <s v="Yes"/>
    <s v="Opening Balance"/>
  </r>
  <r>
    <s v="V70000095474"/>
    <s v="BRTFWD"/>
    <s v="Y"/>
    <n v="-3170.91"/>
    <n v="-2367.06"/>
    <n v="-3170.91"/>
    <s v="SGD"/>
    <x v="60"/>
    <s v="BS22000"/>
    <s v="OB"/>
    <s v="Opening Balance"/>
    <m/>
    <d v="2025-01-01T00:00:00"/>
    <m/>
    <d v="1899-12-30T00:43:57"/>
    <s v="Mini Nair"/>
    <d v="1899-12-30T00:43:57"/>
    <m/>
    <m/>
    <s v="TAUHON"/>
    <m/>
    <d v="1899-12-30T00:44:11"/>
    <s v="Yes"/>
    <s v="Opening Balance"/>
  </r>
  <r>
    <s v="V70000095477"/>
    <s v="BRTFWD"/>
    <s v="Y"/>
    <n v="-81.25"/>
    <n v="-60.65"/>
    <n v="-81.25"/>
    <s v="SGD"/>
    <x v="60"/>
    <s v="BS22000"/>
    <s v="OB"/>
    <s v="Opening Balance"/>
    <m/>
    <d v="2025-01-01T00:00:00"/>
    <m/>
    <d v="1899-12-30T00:43:57"/>
    <s v="Mini Nair"/>
    <d v="1899-12-30T00:43:57"/>
    <m/>
    <m/>
    <s v="TELLU"/>
    <m/>
    <d v="1899-12-30T00:44:11"/>
    <s v="Yes"/>
    <s v="Opening Balance"/>
  </r>
  <r>
    <s v="V70000095488"/>
    <s v="BRTFWD"/>
    <s v="Y"/>
    <n v="24.78"/>
    <n v="18.5"/>
    <n v="24.78"/>
    <s v="SGD"/>
    <x v="60"/>
    <s v="BS22000"/>
    <s v="OB"/>
    <s v="Opening Balance"/>
    <m/>
    <d v="2025-01-01T00:00:00"/>
    <m/>
    <d v="1899-12-30T00:43:57"/>
    <s v="Mini Nair"/>
    <d v="1899-12-30T00:43:57"/>
    <m/>
    <m/>
    <s v="xinhan"/>
    <m/>
    <d v="1899-12-30T00:44:11"/>
    <s v="Yes"/>
    <s v="Opening Balance"/>
  </r>
  <r>
    <s v="V70000095490"/>
    <s v="BRTFWD"/>
    <s v="Y"/>
    <n v="34.24"/>
    <n v="25.56"/>
    <n v="34.24"/>
    <s v="SGD"/>
    <x v="60"/>
    <s v="BS22000"/>
    <s v="OB"/>
    <s v="Opening Balance"/>
    <m/>
    <d v="2025-01-01T00:00:00"/>
    <m/>
    <d v="1899-12-30T00:43:57"/>
    <s v="Mini Nair"/>
    <d v="1899-12-30T00:43:57"/>
    <m/>
    <m/>
    <s v="YANBRI"/>
    <m/>
    <d v="1899-12-30T00:44:11"/>
    <s v="Yes"/>
    <s v="Opening Balance"/>
  </r>
  <r>
    <s v="V70000095606"/>
    <s v="ROLCLR"/>
    <s v="Y"/>
    <n v="-263599.90000000002"/>
    <n v="-197600.04"/>
    <n v="-263599.90000000002"/>
    <m/>
    <x v="41"/>
    <s v="BS53000"/>
    <s v="OB"/>
    <s v="Opening Balance"/>
    <m/>
    <d v="2025-01-01T00:00:00"/>
    <m/>
    <d v="1899-12-30T00:43:57"/>
    <s v="Mini Nair"/>
    <d v="1899-12-30T00:43:57"/>
    <m/>
    <m/>
    <s v="AMI"/>
    <m/>
    <d v="1899-12-30T00:44:11"/>
    <s v="Yes"/>
    <s v="Roll and Clear - 3302000"/>
  </r>
  <r>
    <s v="V70000095610"/>
    <s v="ROLCLR"/>
    <s v="Y"/>
    <n v="-20762.86"/>
    <n v="-15462.36"/>
    <n v="-20762.86"/>
    <m/>
    <x v="41"/>
    <s v="BS53000"/>
    <s v="OB"/>
    <s v="Opening Balance"/>
    <m/>
    <d v="2025-01-01T00:00:00"/>
    <m/>
    <d v="1899-12-30T00:43:57"/>
    <s v="Mini Nair"/>
    <d v="1899-12-30T00:43:57"/>
    <m/>
    <m/>
    <s v="ASIAAS"/>
    <m/>
    <d v="1899-12-30T00:44:11"/>
    <s v="Yes"/>
    <s v="Roll and Clear - 3302000"/>
  </r>
  <r>
    <s v="V70000095616"/>
    <s v="ROLCLR"/>
    <s v="Y"/>
    <n v="-178067.22"/>
    <n v="-133446.66"/>
    <n v="-178067.22"/>
    <m/>
    <x v="41"/>
    <s v="BS53000"/>
    <s v="OB"/>
    <s v="Opening Balance"/>
    <m/>
    <d v="2025-01-01T00:00:00"/>
    <m/>
    <d v="1899-12-30T00:43:57"/>
    <s v="Mini Nair"/>
    <d v="1899-12-30T00:43:57"/>
    <m/>
    <m/>
    <s v="BRICK"/>
    <m/>
    <d v="1899-12-30T00:44:11"/>
    <s v="Yes"/>
    <s v="Roll and Clear - 3302000"/>
  </r>
  <r>
    <s v="V70000095617"/>
    <s v="ROLCLR"/>
    <s v="Y"/>
    <n v="-81507.83"/>
    <n v="-60851.44"/>
    <n v="-81507.83"/>
    <m/>
    <x v="41"/>
    <s v="BS53000"/>
    <s v="OB"/>
    <s v="Opening Balance"/>
    <m/>
    <d v="2025-01-01T00:00:00"/>
    <m/>
    <d v="1899-12-30T00:43:57"/>
    <s v="Mini Nair"/>
    <d v="1899-12-30T00:43:57"/>
    <m/>
    <m/>
    <s v="BULHAL"/>
    <m/>
    <d v="1899-12-30T00:44:11"/>
    <s v="Yes"/>
    <s v="Roll and Clear - 3302000"/>
  </r>
  <r>
    <s v="V70000095623"/>
    <s v="ROLCLR"/>
    <s v="Y"/>
    <n v="204.19"/>
    <n v="0"/>
    <n v="204.19"/>
    <m/>
    <x v="41"/>
    <s v="BS53000"/>
    <s v="OB"/>
    <s v="Opening Balance"/>
    <m/>
    <d v="2025-01-01T00:00:00"/>
    <m/>
    <d v="1899-12-30T00:43:57"/>
    <s v="Mini Nair"/>
    <d v="1899-12-30T00:43:57"/>
    <m/>
    <m/>
    <s v="EASDAP"/>
    <m/>
    <d v="1899-12-30T00:44:11"/>
    <s v="Yes"/>
    <s v="Roll and Clear - 3302000"/>
  </r>
  <r>
    <s v="V70000095637"/>
    <s v="ROLCLR"/>
    <s v="Y"/>
    <n v="-3469.02"/>
    <n v="-2550"/>
    <n v="-3469.02"/>
    <m/>
    <x v="41"/>
    <s v="BS53000"/>
    <s v="OB"/>
    <s v="Opening Balance"/>
    <m/>
    <d v="2025-01-01T00:00:00"/>
    <m/>
    <d v="1899-12-30T00:43:57"/>
    <s v="Mini Nair"/>
    <d v="1899-12-30T00:43:57"/>
    <m/>
    <m/>
    <s v="harias"/>
    <m/>
    <d v="1899-12-30T00:44:11"/>
    <s v="Yes"/>
    <s v="Roll and Clear - 3302000"/>
  </r>
  <r>
    <s v="V70000095639"/>
    <s v="ROLCLR"/>
    <s v="Y"/>
    <n v="-70897.009999999995"/>
    <n v="-52710"/>
    <n v="-70897.009999999995"/>
    <m/>
    <x v="41"/>
    <s v="BS53000"/>
    <s v="OB"/>
    <s v="Opening Balance"/>
    <m/>
    <d v="2025-01-01T00:00:00"/>
    <m/>
    <d v="1899-12-30T00:43:57"/>
    <s v="Mini Nair"/>
    <d v="1899-12-30T00:43:57"/>
    <m/>
    <m/>
    <s v="HCYGNU"/>
    <m/>
    <d v="1899-12-30T00:44:11"/>
    <s v="Yes"/>
    <s v="Roll and Clear - 3302000"/>
  </r>
  <r>
    <s v="V70000095640"/>
    <s v="ROLCLR"/>
    <s v="Y"/>
    <n v="-157634.20000000001"/>
    <n v="-118120.08"/>
    <n v="-157634.20000000001"/>
    <m/>
    <x v="41"/>
    <s v="BS53000"/>
    <s v="OB"/>
    <s v="Opening Balance"/>
    <m/>
    <d v="2025-01-01T00:00:00"/>
    <m/>
    <d v="1899-12-30T00:43:57"/>
    <s v="Mini Nair"/>
    <d v="1899-12-30T00:43:57"/>
    <m/>
    <m/>
    <s v="HERZH1"/>
    <m/>
    <d v="1899-12-30T00:44:11"/>
    <s v="Yes"/>
    <s v="Roll and Clear - 3302000"/>
  </r>
  <r>
    <s v="V70000095652"/>
    <s v="ROLCLR"/>
    <s v="Y"/>
    <n v="-147011.28"/>
    <n v="-110160"/>
    <n v="-147011.28"/>
    <m/>
    <x v="41"/>
    <s v="BS53000"/>
    <s v="OB"/>
    <s v="Opening Balance"/>
    <m/>
    <d v="2025-01-01T00:00:00"/>
    <m/>
    <d v="1899-12-30T00:43:57"/>
    <s v="Mini Nair"/>
    <d v="1899-12-30T00:43:57"/>
    <m/>
    <m/>
    <s v="MPMRTI"/>
    <m/>
    <d v="1899-12-30T00:44:11"/>
    <s v="Yes"/>
    <s v="Roll and Clear - 3302000"/>
  </r>
  <r>
    <s v="V70000095659"/>
    <s v="ROLCLR"/>
    <s v="Y"/>
    <n v="-111394.05"/>
    <n v="-84055.56"/>
    <n v="-111394.05"/>
    <m/>
    <x v="41"/>
    <s v="BS53000"/>
    <s v="OB"/>
    <s v="Opening Balance"/>
    <m/>
    <d v="2025-01-01T00:00:00"/>
    <m/>
    <d v="1899-12-30T00:43:57"/>
    <s v="Mini Nair"/>
    <d v="1899-12-30T00:43:57"/>
    <m/>
    <m/>
    <s v="onealp"/>
    <m/>
    <d v="1899-12-30T00:44:11"/>
    <s v="Yes"/>
    <s v="Roll and Clear - 3302000"/>
  </r>
  <r>
    <s v="V70000095667"/>
    <s v="ROLCLR"/>
    <s v="Y"/>
    <n v="-60924.19"/>
    <n v="-45884.42"/>
    <n v="-60924.19"/>
    <m/>
    <x v="41"/>
    <s v="BS53000"/>
    <s v="OB"/>
    <s v="Opening Balance"/>
    <m/>
    <d v="2025-01-01T00:00:00"/>
    <m/>
    <d v="1899-12-30T00:43:57"/>
    <s v="Mini Nair"/>
    <d v="1899-12-30T00:43:57"/>
    <m/>
    <m/>
    <s v="PACGIN"/>
    <m/>
    <d v="1899-12-30T00:44:11"/>
    <s v="Yes"/>
    <s v="Roll and Clear - 3302000"/>
  </r>
  <r>
    <s v="V70000095672"/>
    <s v="ROLCLR"/>
    <s v="Y"/>
    <n v="-102824.65"/>
    <n v="-76331.97"/>
    <n v="-102824.65"/>
    <m/>
    <x v="41"/>
    <s v="BS53000"/>
    <s v="OB"/>
    <s v="Opening Balance"/>
    <m/>
    <d v="2025-01-01T00:00:00"/>
    <m/>
    <d v="1899-12-30T00:43:57"/>
    <s v="Mini Nair"/>
    <d v="1899-12-30T00:43:57"/>
    <m/>
    <m/>
    <s v="pinhai"/>
    <m/>
    <d v="1899-12-30T00:44:11"/>
    <s v="Yes"/>
    <s v="Roll and Clear - 3302000"/>
  </r>
  <r>
    <s v="V70000095677"/>
    <s v="ROLCLR"/>
    <s v="Y"/>
    <n v="-120107.25"/>
    <n v="-90000"/>
    <n v="-120107.25"/>
    <m/>
    <x v="41"/>
    <s v="BS53000"/>
    <s v="OB"/>
    <s v="Opening Balance"/>
    <m/>
    <d v="2025-01-01T00:00:00"/>
    <m/>
    <d v="1899-12-30T00:43:57"/>
    <s v="Mini Nair"/>
    <d v="1899-12-30T00:43:57"/>
    <m/>
    <m/>
    <s v="PROSHA"/>
    <m/>
    <d v="1899-12-30T00:44:11"/>
    <s v="Yes"/>
    <s v="Roll and Clear - 3302000"/>
  </r>
  <r>
    <s v="V70000095687"/>
    <s v="ROLCLR"/>
    <s v="Y"/>
    <n v="-70240.63"/>
    <n v="-52269.35"/>
    <n v="-70240.63"/>
    <m/>
    <x v="41"/>
    <s v="BS53000"/>
    <s v="OB"/>
    <s v="Opening Balance"/>
    <m/>
    <d v="2025-01-01T00:00:00"/>
    <m/>
    <d v="1899-12-30T00:43:57"/>
    <s v="Mini Nair"/>
    <d v="1899-12-30T00:43:57"/>
    <m/>
    <m/>
    <s v="scopho"/>
    <m/>
    <d v="1899-12-30T00:44:11"/>
    <s v="Yes"/>
    <s v="Roll and Clear - 3302000"/>
  </r>
  <r>
    <s v="V70000095690"/>
    <s v="ROLCLR"/>
    <s v="Y"/>
    <n v="-138718.10999999999"/>
    <n v="-103772.15"/>
    <n v="-138718.10999999999"/>
    <m/>
    <x v="41"/>
    <s v="BS53000"/>
    <s v="OB"/>
    <s v="Opening Balance"/>
    <m/>
    <d v="2025-01-01T00:00:00"/>
    <m/>
    <d v="1899-12-30T00:43:57"/>
    <s v="Mini Nair"/>
    <d v="1899-12-30T00:43:57"/>
    <m/>
    <m/>
    <s v="SINTID"/>
    <m/>
    <d v="1899-12-30T00:44:11"/>
    <s v="Yes"/>
    <s v="Roll and Clear - 3302000"/>
  </r>
  <r>
    <s v="V70000095692"/>
    <s v="ROLCLR"/>
    <s v="Y"/>
    <n v="-224632.1"/>
    <n v="-168226.92"/>
    <n v="-224632.1"/>
    <m/>
    <x v="41"/>
    <s v="BS53000"/>
    <s v="OB"/>
    <s v="Opening Balance"/>
    <m/>
    <d v="2025-01-01T00:00:00"/>
    <m/>
    <d v="1899-12-30T00:43:57"/>
    <s v="Mini Nair"/>
    <d v="1899-12-30T00:43:57"/>
    <m/>
    <m/>
    <s v="SIROCC"/>
    <m/>
    <d v="1899-12-30T00:44:11"/>
    <s v="Yes"/>
    <s v="Roll and Clear - 3302000"/>
  </r>
  <r>
    <s v="V70000095699"/>
    <s v="ROLCLR"/>
    <s v="Y"/>
    <n v="-132785.29"/>
    <n v="-99500.04"/>
    <n v="-132785.29"/>
    <m/>
    <x v="41"/>
    <s v="BS53000"/>
    <s v="OB"/>
    <s v="Opening Balance"/>
    <m/>
    <d v="2025-01-01T00:00:00"/>
    <m/>
    <d v="1899-12-30T00:43:57"/>
    <s v="Mini Nair"/>
    <d v="1899-12-30T00:43:57"/>
    <m/>
    <m/>
    <s v="TSCHEN"/>
    <m/>
    <d v="1899-12-30T00:44:11"/>
    <s v="Yes"/>
    <s v="Roll and Clear - 3302000"/>
  </r>
  <r>
    <s v="V70000095701"/>
    <s v="ROLCLR"/>
    <s v="Y"/>
    <n v="-146189.1"/>
    <n v="-109500"/>
    <n v="-146189.1"/>
    <m/>
    <x v="41"/>
    <s v="BS53000"/>
    <s v="OB"/>
    <s v="Opening Balance"/>
    <m/>
    <d v="2025-01-01T00:00:00"/>
    <m/>
    <d v="1899-12-30T00:43:57"/>
    <s v="Mini Nair"/>
    <d v="1899-12-30T00:43:57"/>
    <m/>
    <m/>
    <s v="TSHATA"/>
    <m/>
    <d v="1899-12-30T00:44:11"/>
    <s v="Yes"/>
    <s v="Roll and Clear - 3302000"/>
  </r>
  <r>
    <s v="V70000095705"/>
    <s v="ROLCLR"/>
    <s v="Y"/>
    <n v="-144128.70000000001"/>
    <n v="-108000"/>
    <n v="-144128.70000000001"/>
    <m/>
    <x v="41"/>
    <s v="BS53000"/>
    <s v="OB"/>
    <s v="Opening Balance"/>
    <m/>
    <d v="2025-01-01T00:00:00"/>
    <m/>
    <d v="1899-12-30T00:43:57"/>
    <s v="Mini Nair"/>
    <d v="1899-12-30T00:43:57"/>
    <m/>
    <m/>
    <s v="TSMUND"/>
    <m/>
    <d v="1899-12-30T00:44:11"/>
    <s v="Yes"/>
    <s v="Roll and Clear - 3302000"/>
  </r>
  <r>
    <s v="V70000095747"/>
    <s v="ROLCLR"/>
    <s v="Y"/>
    <n v="-21544"/>
    <n v="-16270.11"/>
    <n v="-21544"/>
    <m/>
    <x v="41"/>
    <s v="BS53000"/>
    <s v="OB"/>
    <s v="Opening Balance"/>
    <m/>
    <d v="2025-01-01T00:00:00"/>
    <m/>
    <d v="1899-12-30T00:43:57"/>
    <s v="Mini Nair"/>
    <d v="1899-12-30T00:43:57"/>
    <m/>
    <m/>
    <s v="WISE"/>
    <m/>
    <d v="1899-12-30T00:44:11"/>
    <s v="Yes"/>
    <s v="Roll and Clear - 3302000"/>
  </r>
  <r>
    <s v="V70000095464"/>
    <s v="BRTFWD"/>
    <s v="Y"/>
    <n v="7838.16"/>
    <n v="5827.71"/>
    <n v="7838.16"/>
    <s v="SGD"/>
    <x v="60"/>
    <s v="BS22000"/>
    <s v="OB"/>
    <s v="Opening Balance"/>
    <m/>
    <d v="2025-01-01T00:00:00"/>
    <m/>
    <d v="1899-12-30T00:43:57"/>
    <s v="Mini Nair"/>
    <d v="1899-12-30T00:43:57"/>
    <m/>
    <m/>
    <s v="scopho"/>
    <m/>
    <d v="1899-12-30T00:44:11"/>
    <s v="Yes"/>
    <s v="Opening Balance"/>
  </r>
  <r>
    <s v="V70000095467"/>
    <s v="BRTFWD"/>
    <s v="Y"/>
    <n v="1365.51"/>
    <n v="1030.3399999999999"/>
    <n v="1365.51"/>
    <s v="SGD"/>
    <x v="60"/>
    <s v="BS22000"/>
    <s v="OB"/>
    <s v="Opening Balance"/>
    <m/>
    <d v="2025-01-01T00:00:00"/>
    <m/>
    <d v="1899-12-30T00:43:57"/>
    <s v="Mini Nair"/>
    <d v="1899-12-30T00:43:57"/>
    <m/>
    <m/>
    <s v="SINTID"/>
    <m/>
    <d v="1899-12-30T00:44:11"/>
    <s v="Yes"/>
    <s v="Opening Balance"/>
  </r>
  <r>
    <s v="V70000095468"/>
    <s v="BRTFWD"/>
    <s v="Y"/>
    <n v="-1243.98"/>
    <n v="-909.61"/>
    <n v="-1243.98"/>
    <s v="SGD"/>
    <x v="60"/>
    <s v="BS22000"/>
    <s v="OB"/>
    <s v="Opening Balance"/>
    <m/>
    <d v="2025-01-01T00:00:00"/>
    <m/>
    <d v="1899-12-30T00:43:57"/>
    <s v="Mini Nair"/>
    <d v="1899-12-30T00:43:57"/>
    <m/>
    <m/>
    <s v="SIROCC"/>
    <m/>
    <d v="1899-12-30T00:44:11"/>
    <s v="Yes"/>
    <s v="Opening Balance"/>
  </r>
  <r>
    <s v="V70000095486"/>
    <s v="BRTFWD"/>
    <s v="Y"/>
    <n v="718.67"/>
    <n v="537"/>
    <n v="718.67"/>
    <s v="SGD"/>
    <x v="60"/>
    <s v="BS22000"/>
    <s v="OB"/>
    <s v="Opening Balance"/>
    <m/>
    <d v="2025-01-01T00:00:00"/>
    <m/>
    <d v="1899-12-30T00:43:57"/>
    <s v="Mini Nair"/>
    <d v="1899-12-30T00:43:57"/>
    <m/>
    <m/>
    <s v="WISE"/>
    <m/>
    <d v="1899-12-30T00:44:11"/>
    <s v="Yes"/>
    <s v="Opening Balance"/>
  </r>
  <r>
    <s v="V70000095491"/>
    <s v="BRTFWD"/>
    <s v="Y"/>
    <n v="16.989999999999998"/>
    <n v="12.68"/>
    <n v="16.989999999999998"/>
    <s v="SGD"/>
    <x v="60"/>
    <s v="BS22000"/>
    <s v="OB"/>
    <s v="Opening Balance"/>
    <m/>
    <d v="2025-01-01T00:00:00"/>
    <m/>
    <d v="1899-12-30T00:43:57"/>
    <s v="Mini Nair"/>
    <d v="1899-12-30T00:43:57"/>
    <m/>
    <m/>
    <s v="YANCRO"/>
    <m/>
    <d v="1899-12-30T00:44:11"/>
    <s v="Yes"/>
    <s v="Opening Balance"/>
  </r>
  <r>
    <s v="V70000095566"/>
    <s v="BRTFWD"/>
    <s v="Y"/>
    <n v="-38197.96"/>
    <n v="-28123.96"/>
    <n v="-38197.96"/>
    <s v="EUR"/>
    <x v="65"/>
    <s v="BS33200"/>
    <s v="OB"/>
    <s v="Opening Balance"/>
    <m/>
    <d v="2025-01-01T00:00:00"/>
    <m/>
    <d v="1899-12-30T00:43:57"/>
    <s v="Mini Nair"/>
    <d v="1899-12-30T00:43:57"/>
    <m/>
    <m/>
    <s v="pinhai"/>
    <m/>
    <d v="1899-12-30T00:44:11"/>
    <s v="Yes"/>
    <s v="Opening Balance"/>
  </r>
  <r>
    <s v="V70000095314"/>
    <s v="BRTFWD"/>
    <s v="Y"/>
    <n v="56.37"/>
    <n v="54.8"/>
    <n v="56.37"/>
    <s v="SGD"/>
    <x v="60"/>
    <s v="BS22000"/>
    <s v="OB"/>
    <s v="Opening Balance"/>
    <m/>
    <d v="2025-01-01T00:00:00"/>
    <m/>
    <d v="1899-12-30T00:43:57"/>
    <s v="Mini Nair"/>
    <d v="1899-12-30T00:43:57"/>
    <m/>
    <m/>
    <s v="ALISIO"/>
    <m/>
    <d v="1899-12-30T00:44:11"/>
    <s v="Yes"/>
    <s v="Opening Balance"/>
  </r>
  <r>
    <s v="V70000095319"/>
    <s v="BRTFWD"/>
    <s v="Y"/>
    <n v="-127.87"/>
    <n v="-95.45"/>
    <n v="-127.87"/>
    <s v="SGD"/>
    <x v="60"/>
    <s v="BS22000"/>
    <s v="OB"/>
    <s v="Opening Balance"/>
    <m/>
    <d v="2025-01-01T00:00:00"/>
    <m/>
    <d v="1899-12-30T00:43:57"/>
    <s v="Mini Nair"/>
    <d v="1899-12-30T00:43:57"/>
    <m/>
    <m/>
    <s v="ASBAY"/>
    <m/>
    <d v="1899-12-30T00:44:11"/>
    <s v="Yes"/>
    <s v="Opening Balance"/>
  </r>
  <r>
    <s v="V70000095323"/>
    <s v="BRTFWD"/>
    <s v="Y"/>
    <n v="587.70000000000005"/>
    <n v="438.71"/>
    <n v="587.70000000000005"/>
    <s v="SGD"/>
    <x v="60"/>
    <s v="BS22000"/>
    <s v="OB"/>
    <s v="Opening Balance"/>
    <m/>
    <d v="2025-01-01T00:00:00"/>
    <m/>
    <d v="1899-12-30T00:43:57"/>
    <s v="Mini Nair"/>
    <d v="1899-12-30T00:43:57"/>
    <m/>
    <m/>
    <s v="ATLGRE"/>
    <m/>
    <d v="1899-12-30T00:44:11"/>
    <s v="Yes"/>
    <s v="Opening Balance"/>
  </r>
  <r>
    <s v="V70000095346"/>
    <s v="BRTFWD"/>
    <s v="Y"/>
    <n v="-1176.22"/>
    <n v="-866.17"/>
    <n v="-1176.22"/>
    <s v="SGD"/>
    <x v="60"/>
    <s v="BS22000"/>
    <s v="OB"/>
    <s v="Opening Balance"/>
    <m/>
    <d v="2025-01-01T00:00:00"/>
    <m/>
    <d v="1899-12-30T00:43:57"/>
    <s v="Mini Nair"/>
    <d v="1899-12-30T00:43:57"/>
    <m/>
    <m/>
    <s v="CLYDE"/>
    <m/>
    <d v="1899-12-30T00:44:11"/>
    <s v="Yes"/>
    <s v="Opening Balance"/>
  </r>
  <r>
    <s v="V70000095369"/>
    <s v="BRTFWD"/>
    <s v="Y"/>
    <n v="-89.46"/>
    <n v="-66.78"/>
    <n v="-89.46"/>
    <s v="SGD"/>
    <x v="60"/>
    <s v="BS22000"/>
    <s v="OB"/>
    <s v="Opening Balance"/>
    <m/>
    <d v="2025-01-01T00:00:00"/>
    <m/>
    <d v="1899-12-30T00:43:57"/>
    <s v="Mini Nair"/>
    <d v="1899-12-30T00:43:57"/>
    <m/>
    <m/>
    <s v="FORBAY"/>
    <m/>
    <d v="1899-12-30T00:44:11"/>
    <s v="Yes"/>
    <s v="Opening Balance"/>
  </r>
  <r>
    <s v="V70000095374"/>
    <s v="BRTFWD"/>
    <s v="Y"/>
    <n v="-1760.2"/>
    <n v="-1313.97"/>
    <n v="-1760.2"/>
    <s v="SGD"/>
    <x v="60"/>
    <s v="BS22000"/>
    <s v="OB"/>
    <s v="Opening Balance"/>
    <m/>
    <d v="2025-01-01T00:00:00"/>
    <m/>
    <d v="1899-12-30T00:43:57"/>
    <s v="Mini Nair"/>
    <d v="1899-12-30T00:43:57"/>
    <m/>
    <m/>
    <s v="HALBAY"/>
    <m/>
    <d v="1899-12-30T00:44:11"/>
    <s v="Yes"/>
    <s v="Opening Balance"/>
  </r>
  <r>
    <s v="V70000095389"/>
    <s v="BRTFWD"/>
    <s v="Y"/>
    <n v="-22.33"/>
    <n v="-16.61"/>
    <n v="-22.33"/>
    <s v="SGD"/>
    <x v="60"/>
    <s v="BS22000"/>
    <s v="OB"/>
    <s v="Opening Balance"/>
    <m/>
    <d v="2025-01-01T00:00:00"/>
    <m/>
    <d v="1899-12-30T00:43:57"/>
    <s v="Mini Nair"/>
    <d v="1899-12-30T00:43:57"/>
    <m/>
    <m/>
    <s v="KIBAZ"/>
    <m/>
    <d v="1899-12-30T00:44:11"/>
    <s v="Yes"/>
    <s v="Opening Balance"/>
  </r>
  <r>
    <s v="V70000095390"/>
    <s v="BRTFWD"/>
    <s v="Y"/>
    <n v="-306.83"/>
    <n v="-229.05"/>
    <n v="-306.83"/>
    <s v="SGD"/>
    <x v="60"/>
    <s v="BS22000"/>
    <s v="OB"/>
    <s v="Opening Balance"/>
    <m/>
    <d v="2025-01-01T00:00:00"/>
    <m/>
    <d v="1899-12-30T00:43:57"/>
    <s v="Mini Nair"/>
    <d v="1899-12-30T00:43:57"/>
    <m/>
    <m/>
    <s v="KIBY"/>
    <m/>
    <d v="1899-12-30T00:44:11"/>
    <s v="Yes"/>
    <s v="Opening Balance"/>
  </r>
  <r>
    <s v="V70000095391"/>
    <s v="BRTFWD"/>
    <s v="Y"/>
    <n v="-3080.6"/>
    <n v="-2299.64"/>
    <n v="-3080.6"/>
    <s v="SGD"/>
    <x v="60"/>
    <s v="BS22000"/>
    <s v="OB"/>
    <s v="Opening Balance"/>
    <m/>
    <d v="2025-01-01T00:00:00"/>
    <m/>
    <d v="1899-12-30T00:43:57"/>
    <s v="Mini Nair"/>
    <d v="1899-12-30T00:43:57"/>
    <m/>
    <m/>
    <s v="KITBAY"/>
    <m/>
    <d v="1899-12-30T00:44:11"/>
    <s v="Yes"/>
    <s v="Opening Balance"/>
  </r>
  <r>
    <s v="V70000095410"/>
    <s v="BRTFWD"/>
    <s v="Y"/>
    <n v="-577.45000000000005"/>
    <n v="-833.53"/>
    <n v="-577.45000000000005"/>
    <s v="SGD"/>
    <x v="60"/>
    <s v="BS22000"/>
    <s v="OB"/>
    <s v="Opening Balance"/>
    <m/>
    <d v="2025-01-01T00:00:00"/>
    <m/>
    <d v="1899-12-30T00:43:57"/>
    <s v="Mini Nair"/>
    <d v="1899-12-30T00:43:57"/>
    <m/>
    <m/>
    <s v="OCEAOD"/>
    <m/>
    <d v="1899-12-30T00:44:11"/>
    <s v="Yes"/>
    <s v="Opening Balance"/>
  </r>
  <r>
    <s v="V70000095428"/>
    <s v="BRTFWD"/>
    <s v="Y"/>
    <n v="-1760.2"/>
    <n v="-1313.97"/>
    <n v="-1760.2"/>
    <s v="SGD"/>
    <x v="60"/>
    <s v="BS22000"/>
    <s v="OB"/>
    <s v="Opening Balance"/>
    <m/>
    <d v="2025-01-01T00:00:00"/>
    <m/>
    <d v="1899-12-30T00:43:57"/>
    <s v="Mini Nair"/>
    <d v="1899-12-30T00:43:57"/>
    <m/>
    <m/>
    <s v="ORIBAY"/>
    <m/>
    <d v="1899-12-30T00:44:11"/>
    <s v="Yes"/>
    <s v="Opening Balance"/>
  </r>
  <r>
    <s v="V70000095432"/>
    <s v="BRTFWD"/>
    <s v="Y"/>
    <n v="-497.63"/>
    <n v="-369.41"/>
    <n v="-497.63"/>
    <s v="SGD"/>
    <x v="60"/>
    <s v="BS22000"/>
    <s v="OB"/>
    <s v="Opening Balance"/>
    <m/>
    <d v="2025-01-01T00:00:00"/>
    <m/>
    <d v="1899-12-30T00:43:57"/>
    <s v="Mini Nair"/>
    <d v="1899-12-30T00:43:57"/>
    <m/>
    <m/>
    <s v="pacach"/>
    <m/>
    <d v="1899-12-30T00:44:11"/>
    <s v="Yes"/>
    <s v="Opening Balance"/>
  </r>
  <r>
    <s v="V70000095442"/>
    <s v="BRTFWD"/>
    <s v="Y"/>
    <n v="581.48"/>
    <n v="440.57"/>
    <n v="581.48"/>
    <s v="SGD"/>
    <x v="60"/>
    <s v="BS22000"/>
    <s v="OB"/>
    <s v="Opening Balance"/>
    <m/>
    <d v="2025-01-01T00:00:00"/>
    <m/>
    <d v="1899-12-30T00:43:57"/>
    <s v="Mini Nair"/>
    <d v="1899-12-30T00:43:57"/>
    <m/>
    <m/>
    <s v="PROGRA"/>
    <m/>
    <d v="1899-12-30T00:44:11"/>
    <s v="Yes"/>
    <s v="Opening Balance"/>
  </r>
  <r>
    <s v="V70000095447"/>
    <s v="BRTFWD"/>
    <s v="Y"/>
    <n v="-235.87"/>
    <n v="-312.61"/>
    <n v="-235.87"/>
    <s v="SGD"/>
    <x v="60"/>
    <s v="BS22000"/>
    <s v="OB"/>
    <s v="Opening Balance"/>
    <m/>
    <d v="2025-01-01T00:00:00"/>
    <m/>
    <d v="1899-12-30T00:43:57"/>
    <s v="Mini Nair"/>
    <d v="1899-12-30T00:43:57"/>
    <m/>
    <m/>
    <s v="PROSUC"/>
    <m/>
    <d v="1899-12-30T00:44:11"/>
    <s v="Yes"/>
    <s v="Opening Balance"/>
  </r>
  <r>
    <s v="V70000095473"/>
    <s v="BRTFWD"/>
    <s v="Y"/>
    <n v="15.14"/>
    <n v="11.3"/>
    <n v="15.14"/>
    <s v="SGD"/>
    <x v="60"/>
    <s v="BS22000"/>
    <s v="OB"/>
    <s v="Opening Balance"/>
    <m/>
    <d v="2025-01-01T00:00:00"/>
    <m/>
    <d v="1899-12-30T00:43:57"/>
    <s v="Mini Nair"/>
    <d v="1899-12-30T00:43:57"/>
    <m/>
    <m/>
    <s v="TAUCON"/>
    <m/>
    <d v="1899-12-30T00:44:11"/>
    <s v="Yes"/>
    <s v="Opening Balance"/>
  </r>
  <r>
    <s v="V70000095482"/>
    <s v="BRTFWD"/>
    <s v="Y"/>
    <n v="-488.42"/>
    <n v="-364.6"/>
    <n v="-488.42"/>
    <s v="SGD"/>
    <x v="60"/>
    <s v="BS22000"/>
    <s v="OB"/>
    <s v="Opening Balance"/>
    <m/>
    <d v="2025-01-01T00:00:00"/>
    <m/>
    <d v="1899-12-30T00:43:57"/>
    <s v="Mini Nair"/>
    <d v="1899-12-30T00:43:57"/>
    <m/>
    <m/>
    <s v="VISGAD"/>
    <m/>
    <d v="1899-12-30T00:44:11"/>
    <s v="Yes"/>
    <s v="Opening Balance"/>
  </r>
  <r>
    <s v="V70000095489"/>
    <s v="BRTFWD"/>
    <s v="Y"/>
    <n v="83.54"/>
    <n v="62.36"/>
    <n v="83.54"/>
    <s v="SGD"/>
    <x v="60"/>
    <s v="BS22000"/>
    <s v="OB"/>
    <s v="Opening Balance"/>
    <m/>
    <d v="2025-01-01T00:00:00"/>
    <m/>
    <d v="1899-12-30T00:43:57"/>
    <s v="Mini Nair"/>
    <d v="1899-12-30T00:43:57"/>
    <m/>
    <m/>
    <s v="XINHUA"/>
    <m/>
    <d v="1899-12-30T00:44:11"/>
    <s v="Yes"/>
    <s v="Opening Balance"/>
  </r>
  <r>
    <s v="V70000095493"/>
    <s v="BRTFWD"/>
    <s v="Y"/>
    <n v="-590.61"/>
    <n v="-440.89"/>
    <n v="-590.61"/>
    <s v="SGD"/>
    <x v="60"/>
    <s v="BS22000"/>
    <s v="OB"/>
    <s v="Opening Balance"/>
    <m/>
    <d v="2025-01-01T00:00:00"/>
    <m/>
    <d v="1899-12-30T00:43:57"/>
    <s v="Mini Nair"/>
    <d v="1899-12-30T00:43:57"/>
    <m/>
    <m/>
    <s v="ZEPHY"/>
    <m/>
    <d v="1899-12-30T00:44:11"/>
    <s v="Yes"/>
    <s v="Opening Balance"/>
  </r>
  <r>
    <s v="V70000095311"/>
    <s v="BRTFWD"/>
    <s v="Y"/>
    <n v="93486.88"/>
    <n v="68922.13"/>
    <n v="93486.88"/>
    <s v="SGD"/>
    <x v="60"/>
    <s v="BS220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317"/>
    <s v="BRTFWD"/>
    <s v="Y"/>
    <n v="-95.26"/>
    <n v="-62.88"/>
    <n v="-95.26"/>
    <s v="SGD"/>
    <x v="60"/>
    <s v="BS22000"/>
    <s v="OB"/>
    <s v="Opening Balance"/>
    <m/>
    <d v="2025-01-01T00:00:00"/>
    <m/>
    <d v="1899-12-30T00:43:57"/>
    <s v="Mini Nair"/>
    <d v="1899-12-30T00:43:57"/>
    <m/>
    <m/>
    <s v="ARABEL"/>
    <m/>
    <d v="1899-12-30T00:44:11"/>
    <s v="Yes"/>
    <s v="Opening Balance"/>
  </r>
  <r>
    <s v="V70000095322"/>
    <s v="BRTFWD"/>
    <s v="Y"/>
    <n v="-2683.85"/>
    <n v="-1993.21"/>
    <n v="-2683.85"/>
    <s v="SGD"/>
    <x v="60"/>
    <s v="BS22000"/>
    <s v="OB"/>
    <s v="Opening Balance"/>
    <m/>
    <d v="2025-01-01T00:00:00"/>
    <m/>
    <d v="1899-12-30T00:43:57"/>
    <s v="Mini Nair"/>
    <d v="1899-12-30T00:43:57"/>
    <m/>
    <m/>
    <s v="ASLHKG"/>
    <m/>
    <d v="1899-12-30T00:44:11"/>
    <s v="Yes"/>
    <s v="Opening Balance"/>
  </r>
  <r>
    <s v="V70000095328"/>
    <s v="BRTFWD"/>
    <s v="Y"/>
    <n v="-568.94000000000005"/>
    <n v="-403.99"/>
    <n v="-568.94000000000005"/>
    <s v="SGD"/>
    <x v="60"/>
    <s v="BS22000"/>
    <s v="OB"/>
    <s v="Opening Balance"/>
    <m/>
    <d v="2025-01-01T00:00:00"/>
    <m/>
    <d v="1899-12-30T00:43:57"/>
    <s v="Mini Nair"/>
    <d v="1899-12-30T00:43:57"/>
    <m/>
    <m/>
    <s v="BARUGA"/>
    <m/>
    <d v="1899-12-30T00:44:11"/>
    <s v="Yes"/>
    <s v="Opening Balance"/>
  </r>
  <r>
    <s v="V70000095333"/>
    <s v="BRTFWD"/>
    <s v="Y"/>
    <n v="-1243.98"/>
    <n v="-924.98"/>
    <n v="-1243.98"/>
    <s v="SGD"/>
    <x v="60"/>
    <s v="BS22000"/>
    <s v="OB"/>
    <s v="Opening Balance"/>
    <m/>
    <d v="2025-01-01T00:00:00"/>
    <m/>
    <d v="1899-12-30T00:43:57"/>
    <s v="Mini Nair"/>
    <d v="1899-12-30T00:43:57"/>
    <m/>
    <m/>
    <s v="BORA3P"/>
    <m/>
    <d v="1899-12-30T00:44:11"/>
    <s v="Yes"/>
    <s v="Opening Balance"/>
  </r>
  <r>
    <s v="V70000095342"/>
    <s v="BRTFWD"/>
    <s v="Y"/>
    <n v="77.56"/>
    <n v="58.02"/>
    <n v="77.56"/>
    <s v="SGD"/>
    <x v="60"/>
    <s v="BS22000"/>
    <s v="OB"/>
    <s v="Opening Balance"/>
    <m/>
    <d v="2025-01-01T00:00:00"/>
    <m/>
    <d v="1899-12-30T00:43:57"/>
    <s v="Mini Nair"/>
    <d v="1899-12-30T00:43:57"/>
    <m/>
    <m/>
    <s v="ckvent"/>
    <m/>
    <d v="1899-12-30T00:44:11"/>
    <s v="Yes"/>
    <s v="Opening Balance"/>
  </r>
  <r>
    <s v="V70000095351"/>
    <s v="BRTFWD"/>
    <s v="Y"/>
    <n v="436.78"/>
    <n v="326.05"/>
    <n v="436.78"/>
    <s v="SGD"/>
    <x v="60"/>
    <s v="BS22000"/>
    <s v="OB"/>
    <s v="Opening Balance"/>
    <m/>
    <d v="2025-01-01T00:00:00"/>
    <m/>
    <d v="1899-12-30T00:43:57"/>
    <s v="Mini Nair"/>
    <d v="1899-12-30T00:43:57"/>
    <m/>
    <m/>
    <s v="DEAN"/>
    <m/>
    <d v="1899-12-30T00:44:11"/>
    <s v="Yes"/>
    <s v="Opening Balance"/>
  </r>
  <r>
    <s v="V70000095358"/>
    <s v="BRTFWD"/>
    <s v="Y"/>
    <n v="-2126.73"/>
    <n v="-1579.32"/>
    <n v="-2126.73"/>
    <s v="SGD"/>
    <x v="60"/>
    <s v="BS22000"/>
    <s v="OB"/>
    <s v="Opening Balance"/>
    <m/>
    <d v="2025-01-01T00:00:00"/>
    <m/>
    <d v="1899-12-30T00:43:57"/>
    <s v="Mini Nair"/>
    <d v="1899-12-30T00:43:57"/>
    <m/>
    <m/>
    <s v="easmag"/>
    <m/>
    <d v="1899-12-30T00:44:11"/>
    <s v="Yes"/>
    <s v="Opening Balance"/>
  </r>
  <r>
    <s v="V70000095366"/>
    <s v="BRTFWD"/>
    <s v="Y"/>
    <n v="-1760.2"/>
    <n v="-1313.97"/>
    <n v="-1760.2"/>
    <s v="SGD"/>
    <x v="60"/>
    <s v="BS22000"/>
    <s v="OB"/>
    <s v="Opening Balance"/>
    <m/>
    <d v="2025-01-01T00:00:00"/>
    <m/>
    <d v="1899-12-30T00:43:57"/>
    <s v="Mini Nair"/>
    <d v="1899-12-30T00:43:57"/>
    <m/>
    <m/>
    <s v="EMEBAY"/>
    <m/>
    <d v="1899-12-30T00:44:11"/>
    <s v="Yes"/>
    <s v="Opening Balance"/>
  </r>
  <r>
    <s v="V70000095379"/>
    <s v="BRTFWD"/>
    <s v="Y"/>
    <n v="-146.44999999999999"/>
    <n v="-109.32"/>
    <n v="-146.44999999999999"/>
    <s v="SGD"/>
    <x v="60"/>
    <s v="BS22000"/>
    <s v="OB"/>
    <s v="Opening Balance"/>
    <m/>
    <d v="2025-01-01T00:00:00"/>
    <m/>
    <d v="1899-12-30T00:43:57"/>
    <s v="Mini Nair"/>
    <d v="1899-12-30T00:43:57"/>
    <m/>
    <m/>
    <s v="HLBY"/>
    <m/>
    <d v="1899-12-30T00:44:11"/>
    <s v="Yes"/>
    <s v="Opening Balance"/>
  </r>
  <r>
    <s v="V70000095385"/>
    <s v="BRTFWD"/>
    <s v="Y"/>
    <n v="-3672.42"/>
    <n v="-2741.43"/>
    <n v="-3672.42"/>
    <s v="SGD"/>
    <x v="60"/>
    <s v="BS22000"/>
    <s v="OB"/>
    <s v="Opening Balance"/>
    <m/>
    <d v="2025-01-01T00:00:00"/>
    <m/>
    <d v="1899-12-30T00:43:57"/>
    <s v="Mini Nair"/>
    <d v="1899-12-30T00:43:57"/>
    <m/>
    <m/>
    <s v="JSWROH"/>
    <m/>
    <d v="1899-12-30T00:44:11"/>
    <s v="Yes"/>
    <s v="Opening Balance"/>
  </r>
  <r>
    <s v="V70000095399"/>
    <s v="BRTFWD"/>
    <s v="Y"/>
    <n v="322.64"/>
    <n v="240.85"/>
    <n v="322.64"/>
    <s v="SGD"/>
    <x v="60"/>
    <s v="BS22000"/>
    <s v="OB"/>
    <s v="Opening Balance"/>
    <m/>
    <d v="2025-01-01T00:00:00"/>
    <m/>
    <d v="1899-12-30T00:43:57"/>
    <s v="Mini Nair"/>
    <d v="1899-12-30T00:43:57"/>
    <m/>
    <m/>
    <s v="LIBHON"/>
    <m/>
    <d v="1899-12-30T00:44:11"/>
    <s v="Yes"/>
    <s v="Opening Balance"/>
  </r>
  <r>
    <s v="V70000095401"/>
    <s v="BRTFWD"/>
    <s v="Y"/>
    <n v="24.16"/>
    <n v="18.04"/>
    <n v="24.16"/>
    <s v="SGD"/>
    <x v="60"/>
    <s v="BS22000"/>
    <s v="OB"/>
    <s v="Opening Balance"/>
    <m/>
    <d v="2025-01-01T00:00:00"/>
    <m/>
    <d v="1899-12-30T00:43:57"/>
    <s v="Mini Nair"/>
    <d v="1899-12-30T00:43:57"/>
    <m/>
    <m/>
    <s v="LYNXNO"/>
    <m/>
    <d v="1899-12-30T00:44:11"/>
    <s v="Yes"/>
    <s v="Opening Balance"/>
  </r>
  <r>
    <s v="V70000095406"/>
    <s v="BRTFWD"/>
    <s v="Y"/>
    <n v="-1760.2"/>
    <n v="-1313.97"/>
    <n v="-1760.2"/>
    <s v="SGD"/>
    <x v="60"/>
    <s v="BS22000"/>
    <s v="OB"/>
    <s v="Opening Balance"/>
    <m/>
    <d v="2025-01-01T00:00:00"/>
    <m/>
    <d v="1899-12-30T00:43:57"/>
    <s v="Mini Nair"/>
    <d v="1899-12-30T00:43:57"/>
    <m/>
    <m/>
    <s v="MYKBAY"/>
    <m/>
    <d v="1899-12-30T00:44:11"/>
    <s v="Yes"/>
    <s v="Opening Balance"/>
  </r>
  <r>
    <s v="V70000095419"/>
    <s v="BRTFWD"/>
    <s v="Y"/>
    <n v="-22.89"/>
    <n v="-17.09"/>
    <n v="-22.89"/>
    <s v="SGD"/>
    <x v="60"/>
    <s v="BS22000"/>
    <s v="OB"/>
    <s v="Opening Balance"/>
    <m/>
    <d v="2025-01-01T00:00:00"/>
    <m/>
    <d v="1899-12-30T00:43:57"/>
    <s v="Mini Nair"/>
    <d v="1899-12-30T00:43:57"/>
    <m/>
    <m/>
    <s v="OCERAY"/>
    <m/>
    <d v="1899-12-30T00:44:11"/>
    <s v="Yes"/>
    <s v="Opening Balance"/>
  </r>
  <r>
    <s v="V70000095429"/>
    <s v="BRTFWD"/>
    <s v="Y"/>
    <n v="-936.59"/>
    <n v="-698.87"/>
    <n v="-936.59"/>
    <s v="SGD"/>
    <x v="60"/>
    <s v="BS22000"/>
    <s v="OB"/>
    <s v="Opening Balance"/>
    <m/>
    <d v="2025-01-01T00:00:00"/>
    <m/>
    <d v="1899-12-30T00:43:57"/>
    <s v="Mini Nair"/>
    <d v="1899-12-30T00:43:57"/>
    <m/>
    <m/>
    <s v="OSGOOD"/>
    <m/>
    <d v="1899-12-30T00:44:11"/>
    <s v="Yes"/>
    <s v="Opening Balance"/>
  </r>
  <r>
    <s v="V70000095434"/>
    <s v="BRTFWD"/>
    <s v="Y"/>
    <n v="-451.22"/>
    <n v="-334.77"/>
    <n v="-451.22"/>
    <s v="SGD"/>
    <x v="60"/>
    <s v="BS22000"/>
    <s v="OB"/>
    <s v="Opening Balance"/>
    <m/>
    <d v="2025-01-01T00:00:00"/>
    <m/>
    <d v="1899-12-30T00:43:57"/>
    <s v="Mini Nair"/>
    <d v="1899-12-30T00:43:57"/>
    <m/>
    <m/>
    <s v="pacchr"/>
    <m/>
    <d v="1899-12-30T00:44:11"/>
    <s v="Yes"/>
    <s v="Opening Balance"/>
  </r>
  <r>
    <s v="V70000095455"/>
    <s v="BRTFWD"/>
    <s v="Y"/>
    <n v="-74.47"/>
    <n v="-55.59"/>
    <n v="-74.47"/>
    <s v="SGD"/>
    <x v="60"/>
    <s v="BS22000"/>
    <s v="OB"/>
    <s v="Opening Balance"/>
    <m/>
    <d v="2025-01-01T00:00:00"/>
    <m/>
    <d v="1899-12-30T00:43:57"/>
    <s v="Mini Nair"/>
    <d v="1899-12-30T00:43:57"/>
    <m/>
    <m/>
    <s v="samctr"/>
    <m/>
    <d v="1899-12-30T00:44:11"/>
    <s v="Yes"/>
    <s v="Opening Balance"/>
  </r>
  <r>
    <s v="V70000095471"/>
    <s v="BRTFWD"/>
    <s v="Y"/>
    <n v="3.98"/>
    <n v="-27.42"/>
    <n v="3.98"/>
    <s v="SGD"/>
    <x v="60"/>
    <s v="BS22000"/>
    <s v="OB"/>
    <s v="Opening Balance"/>
    <m/>
    <d v="2025-01-01T00:00:00"/>
    <m/>
    <d v="1899-12-30T00:43:57"/>
    <s v="Mini Nair"/>
    <d v="1899-12-30T00:43:57"/>
    <m/>
    <m/>
    <s v="TACTR1"/>
    <m/>
    <d v="1899-12-30T00:44:11"/>
    <s v="Yes"/>
    <s v="Opening Balance"/>
  </r>
  <r>
    <s v="V70000095480"/>
    <s v="BRTFWD"/>
    <s v="Y"/>
    <n v="-11812.8"/>
    <n v="-8818.15"/>
    <n v="-11812.8"/>
    <s v="SGD"/>
    <x v="60"/>
    <s v="BS22000"/>
    <s v="OB"/>
    <s v="Opening Balance"/>
    <m/>
    <d v="2025-01-01T00:00:00"/>
    <m/>
    <d v="1899-12-30T00:43:57"/>
    <s v="Mini Nair"/>
    <d v="1899-12-30T00:43:57"/>
    <m/>
    <m/>
    <s v="TUTANV"/>
    <m/>
    <d v="1899-12-30T00:44:11"/>
    <s v="Yes"/>
    <s v="Opening Balance"/>
  </r>
  <r>
    <s v="V70000095320"/>
    <s v="BRTFWD"/>
    <s v="Y"/>
    <n v="-1257.83"/>
    <n v="-938.96"/>
    <n v="-1257.83"/>
    <s v="SGD"/>
    <x v="60"/>
    <s v="BS22000"/>
    <s v="OB"/>
    <s v="Opening Balance"/>
    <m/>
    <d v="2025-01-01T00:00:00"/>
    <m/>
    <d v="1899-12-30T00:43:57"/>
    <s v="Mini Nair"/>
    <d v="1899-12-30T00:43:57"/>
    <m/>
    <m/>
    <s v="ASHAH"/>
    <m/>
    <d v="1899-12-30T00:44:11"/>
    <s v="Yes"/>
    <s v="Opening Balance"/>
  </r>
  <r>
    <s v="V70000095321"/>
    <s v="BRTFWD"/>
    <s v="Y"/>
    <n v="-197.8"/>
    <n v="-246.46"/>
    <n v="-197.8"/>
    <s v="SGD"/>
    <x v="60"/>
    <s v="BS22000"/>
    <s v="OB"/>
    <s v="Opening Balance"/>
    <m/>
    <d v="2025-01-01T00:00:00"/>
    <m/>
    <d v="1899-12-30T00:43:57"/>
    <s v="Mini Nair"/>
    <d v="1899-12-30T00:43:57"/>
    <m/>
    <m/>
    <s v="ASLBAU"/>
    <m/>
    <d v="1899-12-30T00:44:11"/>
    <s v="Yes"/>
    <s v="Opening Balance"/>
  </r>
  <r>
    <s v="V70000095326"/>
    <s v="BRTFWD"/>
    <s v="Y"/>
    <n v="-44.8"/>
    <n v="-33.26"/>
    <n v="-44.8"/>
    <s v="SGD"/>
    <x v="60"/>
    <s v="BS22000"/>
    <s v="OB"/>
    <s v="Opening Balance"/>
    <m/>
    <d v="2025-01-01T00:00:00"/>
    <m/>
    <d v="1899-12-30T00:43:57"/>
    <s v="Mini Nair"/>
    <d v="1899-12-30T00:43:57"/>
    <m/>
    <m/>
    <s v="AWAVE"/>
    <m/>
    <d v="1899-12-30T00:44:11"/>
    <s v="Yes"/>
    <s v="Opening Balance"/>
  </r>
  <r>
    <s v="V70000095331"/>
    <s v="BRTFWD"/>
    <s v="Y"/>
    <n v="-1308.03"/>
    <n v="-976.43"/>
    <n v="-1308.03"/>
    <s v="SGD"/>
    <x v="60"/>
    <s v="BS22000"/>
    <s v="OB"/>
    <s v="Opening Balance"/>
    <m/>
    <d v="2025-01-01T00:00:00"/>
    <m/>
    <d v="1899-12-30T00:43:57"/>
    <s v="Mini Nair"/>
    <d v="1899-12-30T00:43:57"/>
    <m/>
    <m/>
    <s v="BEKSEB"/>
    <m/>
    <d v="1899-12-30T00:44:11"/>
    <s v="Yes"/>
    <s v="Opening Balance"/>
  </r>
  <r>
    <s v="V70000095332"/>
    <s v="BRTFWD"/>
    <s v="Y"/>
    <n v="-53.42"/>
    <n v="-39.880000000000003"/>
    <n v="-53.42"/>
    <s v="SGD"/>
    <x v="60"/>
    <s v="BS22000"/>
    <s v="OB"/>
    <s v="Opening Balance"/>
    <m/>
    <d v="2025-01-01T00:00:00"/>
    <m/>
    <d v="1899-12-30T00:43:57"/>
    <s v="Mini Nair"/>
    <d v="1899-12-30T00:43:57"/>
    <m/>
    <m/>
    <s v="bettpe"/>
    <m/>
    <d v="1899-12-30T00:44:11"/>
    <s v="Yes"/>
    <s v="Opening Balance"/>
  </r>
  <r>
    <s v="V70000095350"/>
    <s v="BRTFWD"/>
    <s v="Y"/>
    <n v="-1323.98"/>
    <n v="-986.6"/>
    <n v="-1323.98"/>
    <s v="SGD"/>
    <x v="60"/>
    <s v="BS22000"/>
    <s v="OB"/>
    <s v="Opening Balance"/>
    <m/>
    <d v="2025-01-01T00:00:00"/>
    <m/>
    <d v="1899-12-30T00:43:57"/>
    <s v="Mini Nair"/>
    <d v="1899-12-30T00:43:57"/>
    <m/>
    <m/>
    <s v="DARYAM"/>
    <m/>
    <d v="1899-12-30T00:44:11"/>
    <s v="Yes"/>
    <s v="Opening Balance"/>
  </r>
  <r>
    <s v="V70000095353"/>
    <s v="BRTFWD"/>
    <s v="Y"/>
    <n v="-45.05"/>
    <n v="-33.44"/>
    <n v="-45.05"/>
    <s v="SGD"/>
    <x v="60"/>
    <s v="BS22000"/>
    <s v="OB"/>
    <s v="Opening Balance"/>
    <m/>
    <d v="2025-01-01T00:00:00"/>
    <m/>
    <d v="1899-12-30T00:43:57"/>
    <s v="Mini Nair"/>
    <d v="1899-12-30T00:43:57"/>
    <m/>
    <m/>
    <s v="dorcou"/>
    <m/>
    <d v="1899-12-30T00:44:11"/>
    <s v="Yes"/>
    <s v="Opening Balance"/>
  </r>
  <r>
    <s v="V70000095363"/>
    <s v="BRTFWD"/>
    <s v="Y"/>
    <n v="1270.47"/>
    <n v="948.4"/>
    <n v="1270.47"/>
    <s v="SGD"/>
    <x v="60"/>
    <s v="BS22000"/>
    <s v="OB"/>
    <s v="Opening Balance"/>
    <m/>
    <d v="2025-01-01T00:00:00"/>
    <m/>
    <d v="1899-12-30T00:43:57"/>
    <s v="Mini Nair"/>
    <d v="1899-12-30T00:43:57"/>
    <m/>
    <m/>
    <s v="EASTKA"/>
    <m/>
    <d v="1899-12-30T00:44:11"/>
    <s v="Yes"/>
    <s v="Opening Balance"/>
  </r>
  <r>
    <s v="V70000095368"/>
    <s v="BRTFWD"/>
    <s v="Y"/>
    <n v="-747.88"/>
    <n v="-552.16999999999996"/>
    <n v="-747.88"/>
    <s v="SGD"/>
    <x v="60"/>
    <s v="BS22000"/>
    <s v="OB"/>
    <s v="Opening Balance"/>
    <m/>
    <d v="2025-01-01T00:00:00"/>
    <m/>
    <d v="1899-12-30T00:43:57"/>
    <s v="Mini Nair"/>
    <d v="1899-12-30T00:43:57"/>
    <m/>
    <m/>
    <s v="FAWIND"/>
    <m/>
    <d v="1899-12-30T00:44:11"/>
    <s v="Yes"/>
    <s v="Opening Balance"/>
  </r>
  <r>
    <s v="V70000095377"/>
    <s v="BRTFWD"/>
    <s v="Y"/>
    <n v="7.57"/>
    <n v="5.65"/>
    <n v="7.57"/>
    <s v="SGD"/>
    <x v="60"/>
    <s v="BS22000"/>
    <s v="OB"/>
    <s v="Opening Balance"/>
    <m/>
    <d v="2025-01-01T00:00:00"/>
    <m/>
    <d v="1899-12-30T00:43:57"/>
    <s v="Mini Nair"/>
    <d v="1899-12-30T00:43:57"/>
    <m/>
    <m/>
    <s v="HERZHO"/>
    <m/>
    <d v="1899-12-30T00:44:11"/>
    <s v="Yes"/>
    <s v="Opening Balance"/>
  </r>
  <r>
    <s v="V70000095382"/>
    <s v="BRTFWD"/>
    <s v="Y"/>
    <n v="-632.78"/>
    <n v="-471.51"/>
    <n v="-632.78"/>
    <s v="SGD"/>
    <x v="60"/>
    <s v="BS22000"/>
    <s v="OB"/>
    <s v="Opening Balance"/>
    <m/>
    <d v="2025-01-01T00:00:00"/>
    <m/>
    <d v="1899-12-30T00:43:57"/>
    <s v="Mini Nair"/>
    <d v="1899-12-30T00:43:57"/>
    <m/>
    <m/>
    <s v="HOESYD"/>
    <m/>
    <d v="1899-12-30T00:44:11"/>
    <s v="Yes"/>
    <s v="Opening Balance"/>
  </r>
  <r>
    <s v="V70000095397"/>
    <s v="BRTFWD"/>
    <s v="Y"/>
    <n v="-1568.77"/>
    <n v="-1149.28"/>
    <n v="-1568.77"/>
    <s v="SGD"/>
    <x v="60"/>
    <s v="BS22000"/>
    <s v="OB"/>
    <s v="Opening Balance"/>
    <m/>
    <d v="2025-01-01T00:00:00"/>
    <m/>
    <d v="1899-12-30T00:43:57"/>
    <s v="Mini Nair"/>
    <d v="1899-12-30T00:43:57"/>
    <m/>
    <m/>
    <s v="LEVAN1"/>
    <m/>
    <d v="1899-12-30T00:44:11"/>
    <s v="Yes"/>
    <s v="Opening Balance"/>
  </r>
  <r>
    <s v="V70000095405"/>
    <s v="BRTFWD"/>
    <s v="Y"/>
    <n v="-143.69999999999999"/>
    <n v="-107.27"/>
    <n v="-143.69999999999999"/>
    <s v="SGD"/>
    <x v="60"/>
    <s v="BS22000"/>
    <s v="OB"/>
    <s v="Opening Balance"/>
    <m/>
    <d v="2025-01-01T00:00:00"/>
    <m/>
    <d v="1899-12-30T00:43:57"/>
    <s v="Mini Nair"/>
    <d v="1899-12-30T00:43:57"/>
    <m/>
    <m/>
    <s v="MYBAY"/>
    <m/>
    <d v="1899-12-30T00:44:11"/>
    <s v="Yes"/>
    <s v="Opening Balance"/>
  </r>
  <r>
    <s v="V70000095408"/>
    <s v="BRTFWD"/>
    <s v="Y"/>
    <n v="-488.42"/>
    <n v="-364.6"/>
    <n v="-488.42"/>
    <s v="SGD"/>
    <x v="60"/>
    <s v="BS22000"/>
    <s v="OB"/>
    <s v="Opening Balance"/>
    <m/>
    <d v="2025-01-01T00:00:00"/>
    <m/>
    <d v="1899-12-30T00:43:57"/>
    <s v="Mini Nair"/>
    <d v="1899-12-30T00:43:57"/>
    <m/>
    <m/>
    <s v="OBLUE"/>
    <m/>
    <d v="1899-12-30T00:44:11"/>
    <s v="Yes"/>
    <s v="Opening Balance"/>
  </r>
  <r>
    <s v="V70000095413"/>
    <s v="BRTFWD"/>
    <s v="Y"/>
    <n v="879.64"/>
    <n v="694.69"/>
    <n v="879.64"/>
    <s v="SGD"/>
    <x v="60"/>
    <s v="BS22000"/>
    <s v="OB"/>
    <s v="Opening Balance"/>
    <m/>
    <d v="2025-01-01T00:00:00"/>
    <m/>
    <d v="1899-12-30T00:43:57"/>
    <s v="Mini Nair"/>
    <d v="1899-12-30T00:43:57"/>
    <m/>
    <m/>
    <s v="OCEEEL"/>
    <m/>
    <d v="1899-12-30T00:44:11"/>
    <s v="Yes"/>
    <s v="Opening Balance"/>
  </r>
  <r>
    <s v="V70000095420"/>
    <s v="BRTFWD"/>
    <s v="Y"/>
    <n v="7.82"/>
    <n v="5.84"/>
    <n v="7.82"/>
    <s v="SGD"/>
    <x v="60"/>
    <s v="BS22000"/>
    <s v="OB"/>
    <s v="Opening Balance"/>
    <m/>
    <d v="2025-01-01T00:00:00"/>
    <m/>
    <d v="1899-12-30T00:43:57"/>
    <s v="Mini Nair"/>
    <d v="1899-12-30T00:43:57"/>
    <m/>
    <m/>
    <s v="OCESAC"/>
    <m/>
    <d v="1899-12-30T00:44:11"/>
    <s v="Yes"/>
    <s v="Opening Balance"/>
  </r>
  <r>
    <s v="V70000095425"/>
    <s v="BRTFWD"/>
    <s v="Y"/>
    <n v="2.4900000000000002"/>
    <n v="-3.8"/>
    <n v="2.4900000000000002"/>
    <s v="SGD"/>
    <x v="60"/>
    <s v="BS22000"/>
    <s v="OB"/>
    <s v="Opening Balance"/>
    <m/>
    <d v="2025-01-01T00:00:00"/>
    <m/>
    <d v="1899-12-30T00:43:57"/>
    <s v="Mini Nair"/>
    <d v="1899-12-30T00:43:57"/>
    <m/>
    <m/>
    <s v="OCPC"/>
    <m/>
    <d v="1899-12-30T00:44:11"/>
    <s v="Yes"/>
    <s v="Opening Balance"/>
  </r>
  <r>
    <s v="V70000095433"/>
    <s v="BRTFWD"/>
    <s v="Y"/>
    <n v="-441.11"/>
    <n v="-327.22000000000003"/>
    <n v="-441.11"/>
    <s v="SGD"/>
    <x v="60"/>
    <s v="BS22000"/>
    <s v="OB"/>
    <s v="Opening Balance"/>
    <m/>
    <d v="2025-01-01T00:00:00"/>
    <m/>
    <d v="1899-12-30T00:43:57"/>
    <s v="Mini Nair"/>
    <d v="1899-12-30T00:43:57"/>
    <m/>
    <m/>
    <s v="pacadh"/>
    <m/>
    <d v="1899-12-30T00:44:11"/>
    <s v="Yes"/>
    <s v="Opening Balance"/>
  </r>
  <r>
    <s v="V70000095437"/>
    <s v="BRTFWD"/>
    <s v="Y"/>
    <n v="-89.46"/>
    <n v="-66.78"/>
    <n v="-89.46"/>
    <s v="SGD"/>
    <x v="60"/>
    <s v="BS22000"/>
    <s v="OB"/>
    <s v="Opening Balance"/>
    <m/>
    <d v="2025-01-01T00:00:00"/>
    <m/>
    <d v="1899-12-30T00:43:57"/>
    <s v="Mini Nair"/>
    <d v="1899-12-30T00:43:57"/>
    <m/>
    <m/>
    <s v="PORCAP"/>
    <m/>
    <d v="1899-12-30T00:44:11"/>
    <s v="Yes"/>
    <s v="Opening Balance"/>
  </r>
  <r>
    <s v="V70000095441"/>
    <s v="BRTFWD"/>
    <s v="Y"/>
    <n v="-130.16"/>
    <n v="-139.38999999999999"/>
    <n v="-130.16"/>
    <s v="SGD"/>
    <x v="60"/>
    <s v="BS22000"/>
    <s v="OB"/>
    <s v="Opening Balance"/>
    <m/>
    <d v="2025-01-01T00:00:00"/>
    <m/>
    <d v="1899-12-30T00:43:57"/>
    <s v="Mini Nair"/>
    <d v="1899-12-30T00:43:57"/>
    <m/>
    <m/>
    <s v="PROGLO"/>
    <m/>
    <d v="1899-12-30T00:44:11"/>
    <s v="Yes"/>
    <s v="Opening Balance"/>
  </r>
  <r>
    <s v="V70000095451"/>
    <s v="BRTFWD"/>
    <s v="Y"/>
    <n v="-1798.13"/>
    <n v="-1342.29"/>
    <n v="-1798.13"/>
    <s v="SGD"/>
    <x v="60"/>
    <s v="BS22000"/>
    <s v="OB"/>
    <s v="Opening Balance"/>
    <m/>
    <d v="2025-01-01T00:00:00"/>
    <m/>
    <d v="1899-12-30T00:43:57"/>
    <s v="Mini Nair"/>
    <d v="1899-12-30T00:43:57"/>
    <m/>
    <m/>
    <s v="REUBAY"/>
    <m/>
    <d v="1899-12-30T00:44:11"/>
    <s v="Yes"/>
    <s v="Opening Balance"/>
  </r>
  <r>
    <s v="V70000095487"/>
    <s v="BRTFWD"/>
    <s v="Y"/>
    <n v="-603.22"/>
    <n v="-472.92"/>
    <n v="-603.22"/>
    <s v="SGD"/>
    <x v="60"/>
    <s v="BS22000"/>
    <s v="OB"/>
    <s v="Opening Balance"/>
    <m/>
    <d v="2025-01-01T00:00:00"/>
    <m/>
    <d v="1899-12-30T00:43:57"/>
    <s v="Mini Nair"/>
    <d v="1899-12-30T00:43:57"/>
    <m/>
    <m/>
    <s v="XIHONG"/>
    <m/>
    <d v="1899-12-30T00:44:11"/>
    <s v="Yes"/>
    <s v="Opening Balance"/>
  </r>
  <r>
    <s v="V70000095609"/>
    <s v="ROLCLR"/>
    <s v="Y"/>
    <n v="-150175.4"/>
    <n v="-112250"/>
    <n v="-150175.4"/>
    <m/>
    <x v="41"/>
    <s v="BS53000"/>
    <s v="OB"/>
    <s v="Opening Balance"/>
    <m/>
    <d v="2025-01-01T00:00:00"/>
    <m/>
    <d v="1899-12-30T00:43:57"/>
    <s v="Mini Nair"/>
    <d v="1899-12-30T00:43:57"/>
    <m/>
    <m/>
    <s v="ARABEL"/>
    <m/>
    <d v="1899-12-30T00:44:11"/>
    <s v="Yes"/>
    <s v="Roll and Clear - 3302000"/>
  </r>
  <r>
    <s v="V70000095613"/>
    <s v="ROLCLR"/>
    <s v="Y"/>
    <n v="-237634.92"/>
    <n v="-177999.96"/>
    <n v="-237634.92"/>
    <m/>
    <x v="41"/>
    <s v="BS53000"/>
    <s v="OB"/>
    <s v="Opening Balance"/>
    <m/>
    <d v="2025-01-01T00:00:00"/>
    <m/>
    <d v="1899-12-30T00:43:57"/>
    <s v="Mini Nair"/>
    <d v="1899-12-30T00:43:57"/>
    <m/>
    <m/>
    <s v="BARUGA"/>
    <m/>
    <d v="1899-12-30T00:44:11"/>
    <s v="Yes"/>
    <s v="Roll and Clear - 3302000"/>
  </r>
  <r>
    <s v="V70000095614"/>
    <s v="ROLCLR"/>
    <s v="Y"/>
    <n v="-226211.49"/>
    <n v="-169351.92"/>
    <n v="-226211.49"/>
    <m/>
    <x v="41"/>
    <s v="BS53000"/>
    <s v="OB"/>
    <s v="Opening Balance"/>
    <m/>
    <d v="2025-01-01T00:00:00"/>
    <m/>
    <d v="1899-12-30T00:43:57"/>
    <s v="Mini Nair"/>
    <d v="1899-12-30T00:43:57"/>
    <m/>
    <m/>
    <s v="BORA3P"/>
    <m/>
    <d v="1899-12-30T00:44:11"/>
    <s v="Yes"/>
    <s v="Roll and Clear - 3302000"/>
  </r>
  <r>
    <s v="V70000095627"/>
    <s v="ROLCLR"/>
    <s v="Y"/>
    <n v="-108680.51"/>
    <n v="-80712.38"/>
    <n v="-108680.51"/>
    <m/>
    <x v="41"/>
    <s v="BS53000"/>
    <s v="OB"/>
    <s v="Opening Balance"/>
    <m/>
    <d v="2025-01-01T00:00:00"/>
    <m/>
    <d v="1899-12-30T00:43:57"/>
    <s v="Mini Nair"/>
    <d v="1899-12-30T00:43:57"/>
    <m/>
    <m/>
    <s v="easmag"/>
    <m/>
    <d v="1899-12-30T00:44:11"/>
    <s v="Yes"/>
    <s v="Roll and Clear - 3302000"/>
  </r>
  <r>
    <s v="V70000095660"/>
    <s v="ROLCLR"/>
    <s v="Y"/>
    <n v="-120661"/>
    <n v="-90000"/>
    <n v="-120661"/>
    <m/>
    <x v="41"/>
    <s v="BS53000"/>
    <s v="OB"/>
    <s v="Opening Balance"/>
    <m/>
    <d v="2025-01-01T00:00:00"/>
    <m/>
    <d v="1899-12-30T00:43:57"/>
    <s v="Mini Nair"/>
    <d v="1899-12-30T00:43:57"/>
    <m/>
    <m/>
    <s v="OSGOOD"/>
    <m/>
    <d v="1899-12-30T00:44:11"/>
    <s v="Yes"/>
    <s v="Roll and Clear - 3302000"/>
  </r>
  <r>
    <s v="V70000095666"/>
    <s v="ROLCLR"/>
    <s v="Y"/>
    <n v="-150534.42000000001"/>
    <n v="-112800"/>
    <n v="-150534.42000000001"/>
    <m/>
    <x v="41"/>
    <s v="BS53000"/>
    <s v="OB"/>
    <s v="Opening Balance"/>
    <m/>
    <d v="2025-01-01T00:00:00"/>
    <m/>
    <d v="1899-12-30T00:43:57"/>
    <s v="Mini Nair"/>
    <d v="1899-12-30T00:43:57"/>
    <m/>
    <m/>
    <s v="pacchr"/>
    <m/>
    <d v="1899-12-30T00:44:11"/>
    <s v="Yes"/>
    <s v="Roll and Clear - 3302000"/>
  </r>
  <r>
    <s v="V70000095682"/>
    <s v="ROLCLR"/>
    <s v="Y"/>
    <n v="-76529.070000000007"/>
    <n v="-56980"/>
    <n v="-76529.070000000007"/>
    <m/>
    <x v="41"/>
    <s v="BS53000"/>
    <s v="OB"/>
    <s v="Opening Balance"/>
    <m/>
    <d v="2025-01-01T00:00:00"/>
    <m/>
    <d v="1899-12-30T00:43:57"/>
    <s v="Mini Nair"/>
    <d v="1899-12-30T00:43:57"/>
    <m/>
    <m/>
    <s v="samctr"/>
    <m/>
    <d v="1899-12-30T00:44:11"/>
    <s v="Yes"/>
    <s v="Roll and Clear - 3302000"/>
  </r>
  <r>
    <s v="V70000095696"/>
    <s v="ROLCLR"/>
    <s v="Y"/>
    <n v="-134617.41"/>
    <n v="-100758.58"/>
    <n v="-134617.41"/>
    <m/>
    <x v="41"/>
    <s v="BS53000"/>
    <s v="OB"/>
    <s v="Opening Balance"/>
    <m/>
    <d v="2025-01-01T00:00:00"/>
    <m/>
    <d v="1899-12-30T00:43:57"/>
    <s v="Mini Nair"/>
    <d v="1899-12-30T00:43:57"/>
    <m/>
    <m/>
    <s v="TOPMAR"/>
    <m/>
    <d v="1899-12-30T00:44:11"/>
    <s v="Yes"/>
    <s v="Roll and Clear - 3302000"/>
  </r>
  <r>
    <s v="V70000095700"/>
    <s v="ROLCLR"/>
    <s v="Y"/>
    <n v="-132769.32999999999"/>
    <n v="-99487.93"/>
    <n v="-132769.32999999999"/>
    <m/>
    <x v="41"/>
    <s v="BS53000"/>
    <s v="OB"/>
    <s v="Opening Balance"/>
    <m/>
    <d v="2025-01-01T00:00:00"/>
    <m/>
    <d v="1899-12-30T00:43:57"/>
    <s v="Mini Nair"/>
    <d v="1899-12-30T00:43:57"/>
    <m/>
    <m/>
    <s v="TSCOLO"/>
    <m/>
    <d v="1899-12-30T00:44:11"/>
    <s v="Yes"/>
    <s v="Roll and Clear - 3302000"/>
  </r>
  <r>
    <s v="V70000095707"/>
    <s v="ROLCLR"/>
    <s v="Y"/>
    <n v="-144128.70000000001"/>
    <n v="-108000"/>
    <n v="-144128.70000000001"/>
    <m/>
    <x v="41"/>
    <s v="BS53000"/>
    <s v="OB"/>
    <s v="Opening Balance"/>
    <m/>
    <d v="2025-01-01T00:00:00"/>
    <m/>
    <d v="1899-12-30T00:43:57"/>
    <s v="Mini Nair"/>
    <d v="1899-12-30T00:43:57"/>
    <m/>
    <m/>
    <s v="TSTAMA"/>
    <m/>
    <d v="1899-12-30T00:44:11"/>
    <s v="Yes"/>
    <s v="Roll and Clear - 3302000"/>
  </r>
  <r>
    <s v="V70000095475"/>
    <s v="BRTFWD"/>
    <s v="Y"/>
    <n v="-1760.2"/>
    <n v="-1313.97"/>
    <n v="-1760.2"/>
    <s v="SGD"/>
    <x v="60"/>
    <s v="BS22000"/>
    <s v="OB"/>
    <s v="Opening Balance"/>
    <m/>
    <d v="2025-01-01T00:00:00"/>
    <m/>
    <d v="1899-12-30T00:43:57"/>
    <s v="Mini Nair"/>
    <d v="1899-12-30T00:43:57"/>
    <m/>
    <m/>
    <s v="TEABAY"/>
    <m/>
    <d v="1899-12-30T00:44:11"/>
    <s v="Yes"/>
    <s v="Opening Balance"/>
  </r>
  <r>
    <s v="V70000095522"/>
    <s v="BRTFWD"/>
    <s v="Y"/>
    <n v="-95693.34"/>
    <n v="-70456"/>
    <n v="-95693.34"/>
    <s v="USD"/>
    <x v="66"/>
    <s v="BS366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601"/>
    <s v="ROLCLR"/>
    <s v="Y"/>
    <n v="41696.25"/>
    <n v="30065.279999999999"/>
    <n v="41696.25"/>
    <m/>
    <x v="41"/>
    <s v="BS53000"/>
    <s v="OB"/>
    <s v="Opening Balance"/>
    <m/>
    <d v="2025-01-01T00:00:00"/>
    <m/>
    <d v="1899-12-30T00:43:57"/>
    <s v="Mini Nair"/>
    <d v="1899-12-30T00:43:57"/>
    <m/>
    <m/>
    <s v="."/>
    <m/>
    <d v="1899-12-30T00:44:11"/>
    <s v="Yes"/>
    <s v="Roll and Clear - 3302000"/>
  </r>
  <r>
    <s v="V70000095607"/>
    <s v="ROLCLR"/>
    <s v="Y"/>
    <n v="-76763.78"/>
    <n v="-57032.25"/>
    <n v="-76763.78"/>
    <m/>
    <x v="41"/>
    <s v="BS53000"/>
    <s v="OB"/>
    <s v="Opening Balance"/>
    <m/>
    <d v="2025-01-01T00:00:00"/>
    <m/>
    <d v="1899-12-30T00:43:57"/>
    <s v="Mini Nair"/>
    <d v="1899-12-30T00:43:57"/>
    <m/>
    <m/>
    <s v="ANAELA"/>
    <m/>
    <d v="1899-12-30T00:44:11"/>
    <s v="Yes"/>
    <s v="Roll and Clear - 3302000"/>
  </r>
  <r>
    <s v="V70000095634"/>
    <s v="ROLCLR"/>
    <s v="Y"/>
    <n v="-170865.87"/>
    <n v="-127500"/>
    <n v="-170865.87"/>
    <m/>
    <x v="41"/>
    <s v="BS53000"/>
    <s v="OB"/>
    <s v="Opening Balance"/>
    <m/>
    <d v="2025-01-01T00:00:00"/>
    <m/>
    <d v="1899-12-30T00:43:57"/>
    <s v="Mini Nair"/>
    <d v="1899-12-30T00:43:57"/>
    <m/>
    <m/>
    <s v="FAISKI"/>
    <m/>
    <d v="1899-12-30T00:44:11"/>
    <s v="Yes"/>
    <s v="Roll and Clear - 3302000"/>
  </r>
  <r>
    <s v="V70000095635"/>
    <s v="ROLCLR"/>
    <s v="Y"/>
    <n v="-31571.8"/>
    <n v="-24166.66"/>
    <n v="-31571.8"/>
    <m/>
    <x v="41"/>
    <s v="BS53000"/>
    <s v="OB"/>
    <s v="Opening Balance"/>
    <m/>
    <d v="2025-01-01T00:00:00"/>
    <m/>
    <d v="1899-12-30T00:43:57"/>
    <s v="Mini Nair"/>
    <d v="1899-12-30T00:43:57"/>
    <m/>
    <m/>
    <s v="FAWIND"/>
    <m/>
    <d v="1899-12-30T00:44:11"/>
    <s v="Yes"/>
    <s v="Roll and Clear - 3302000"/>
  </r>
  <r>
    <s v="V70000095645"/>
    <s v="ROLCLR"/>
    <s v="Y"/>
    <n v="-130217.34"/>
    <n v="-97128"/>
    <n v="-130217.34"/>
    <m/>
    <x v="41"/>
    <s v="BS53000"/>
    <s v="OB"/>
    <s v="Opening Balance"/>
    <m/>
    <d v="2025-01-01T00:00:00"/>
    <m/>
    <d v="1899-12-30T00:43:57"/>
    <s v="Mini Nair"/>
    <d v="1899-12-30T00:43:57"/>
    <m/>
    <m/>
    <s v="HOESYD"/>
    <m/>
    <d v="1899-12-30T00:44:11"/>
    <s v="Yes"/>
    <s v="Roll and Clear - 3302000"/>
  </r>
  <r>
    <s v="V70000095648"/>
    <s v="ROLCLR"/>
    <s v="Y"/>
    <n v="-201307.35"/>
    <n v="-150858.59"/>
    <n v="-201307.35"/>
    <m/>
    <x v="41"/>
    <s v="BS53000"/>
    <s v="OB"/>
    <s v="Opening Balance"/>
    <m/>
    <d v="2025-01-01T00:00:00"/>
    <m/>
    <d v="1899-12-30T00:43:57"/>
    <s v="Mini Nair"/>
    <d v="1899-12-30T00:43:57"/>
    <m/>
    <m/>
    <s v="LEVAN1"/>
    <m/>
    <d v="1899-12-30T00:44:11"/>
    <s v="Yes"/>
    <s v="Roll and Clear - 3302000"/>
  </r>
  <r>
    <s v="V70000095649"/>
    <s v="ROLCLR"/>
    <s v="Y"/>
    <n v="-142794.22"/>
    <n v="-107000.04"/>
    <n v="-142794.22"/>
    <m/>
    <x v="41"/>
    <s v="BS53000"/>
    <s v="OB"/>
    <s v="Opening Balance"/>
    <m/>
    <d v="2025-01-01T00:00:00"/>
    <m/>
    <d v="1899-12-30T00:43:57"/>
    <s v="Mini Nair"/>
    <d v="1899-12-30T00:43:57"/>
    <m/>
    <m/>
    <s v="MGFIR"/>
    <m/>
    <d v="1899-12-30T00:44:11"/>
    <s v="Yes"/>
    <s v="Roll and Clear - 3302000"/>
  </r>
  <r>
    <s v="V70000095665"/>
    <s v="ROLCLR"/>
    <s v="Y"/>
    <n v="-150534.42000000001"/>
    <n v="-112800"/>
    <n v="-150534.42000000001"/>
    <m/>
    <x v="41"/>
    <s v="BS53000"/>
    <s v="OB"/>
    <s v="Opening Balance"/>
    <m/>
    <d v="2025-01-01T00:00:00"/>
    <m/>
    <d v="1899-12-30T00:43:57"/>
    <s v="Mini Nair"/>
    <d v="1899-12-30T00:43:57"/>
    <m/>
    <m/>
    <s v="pacadh"/>
    <m/>
    <d v="1899-12-30T00:44:11"/>
    <s v="Yes"/>
    <s v="Roll and Clear - 3302000"/>
  </r>
  <r>
    <s v="V70000095670"/>
    <s v="ROLCLR"/>
    <s v="Y"/>
    <n v="-103920.28"/>
    <n v="-77774.19"/>
    <n v="-103920.28"/>
    <m/>
    <x v="41"/>
    <s v="BS53000"/>
    <s v="OB"/>
    <s v="Opening Balance"/>
    <m/>
    <d v="2025-01-01T00:00:00"/>
    <m/>
    <d v="1899-12-30T00:43:57"/>
    <s v="Mini Nair"/>
    <d v="1899-12-30T00:43:57"/>
    <m/>
    <m/>
    <s v="PACVIO"/>
    <m/>
    <d v="1899-12-30T00:44:11"/>
    <s v="Yes"/>
    <s v="Roll and Clear - 3302000"/>
  </r>
  <r>
    <s v="V70000095674"/>
    <s v="ROLCLR"/>
    <s v="Y"/>
    <n v="-120107.25"/>
    <n v="-90000"/>
    <n v="-120107.25"/>
    <m/>
    <x v="41"/>
    <s v="BS53000"/>
    <s v="OB"/>
    <s v="Opening Balance"/>
    <m/>
    <d v="2025-01-01T00:00:00"/>
    <m/>
    <d v="1899-12-30T00:43:57"/>
    <s v="Mini Nair"/>
    <d v="1899-12-30T00:43:57"/>
    <m/>
    <m/>
    <s v="PROGLO"/>
    <m/>
    <d v="1899-12-30T00:44:11"/>
    <s v="Yes"/>
    <s v="Roll and Clear - 3302000"/>
  </r>
  <r>
    <s v="V70000095703"/>
    <s v="ROLCLR"/>
    <s v="Y"/>
    <n v="-140792.44"/>
    <n v="-105500.04"/>
    <n v="-140792.44"/>
    <m/>
    <x v="41"/>
    <s v="BS53000"/>
    <s v="OB"/>
    <s v="Opening Balance"/>
    <m/>
    <d v="2025-01-01T00:00:00"/>
    <m/>
    <d v="1899-12-30T00:43:57"/>
    <s v="Mini Nair"/>
    <d v="1899-12-30T00:43:57"/>
    <m/>
    <m/>
    <s v="TSLIAN"/>
    <m/>
    <d v="1899-12-30T00:44:11"/>
    <s v="Yes"/>
    <s v="Roll and Clear - 3302000"/>
  </r>
  <r>
    <s v="V70000095708"/>
    <s v="ROLCLR"/>
    <s v="Y"/>
    <n v="-144128.70000000001"/>
    <n v="-108000"/>
    <n v="-144128.70000000001"/>
    <m/>
    <x v="41"/>
    <s v="BS53000"/>
    <s v="OB"/>
    <s v="Opening Balance"/>
    <m/>
    <d v="2025-01-01T00:00:00"/>
    <m/>
    <d v="1899-12-30T00:43:57"/>
    <s v="Mini Nair"/>
    <d v="1899-12-30T00:43:57"/>
    <m/>
    <m/>
    <s v="TSVANC"/>
    <m/>
    <d v="1899-12-30T00:44:11"/>
    <s v="Yes"/>
    <s v="Roll and Clear - 3302000"/>
  </r>
  <r>
    <s v="V70000095304"/>
    <s v="BRTFWD"/>
    <s v="Y"/>
    <n v="970673.56"/>
    <n v="693759.96"/>
    <n v="970673.56"/>
    <s v="USD"/>
    <x v="15"/>
    <s v="BS25400"/>
    <s v="OB"/>
    <s v="Opening Balance"/>
    <m/>
    <d v="2025-01-01T00:00:00"/>
    <m/>
    <d v="1899-12-30T00:43:57"/>
    <s v="Mini Nair"/>
    <d v="1899-12-30T00:43:57"/>
    <m/>
    <m/>
    <m/>
    <m/>
    <d v="1899-12-30T00:44:11"/>
    <s v="Yes"/>
    <s v="Opening Balance"/>
  </r>
  <r>
    <s v="V70000095305"/>
    <s v="BRTFWD"/>
    <s v="Y"/>
    <n v="-178002.44"/>
    <n v="-131057.61"/>
    <n v="-178002.44"/>
    <s v="USD"/>
    <x v="15"/>
    <s v="BS25400"/>
    <s v="OB"/>
    <s v="Opening Balance"/>
    <m/>
    <d v="2025-01-01T00:00:00"/>
    <m/>
    <d v="1899-12-30T00:43:57"/>
    <s v="Mini Nair"/>
    <d v="1899-12-30T00:43:57"/>
    <m/>
    <m/>
    <s v="."/>
    <m/>
    <d v="1899-12-30T00:44:11"/>
    <s v="Yes"/>
    <s v="Opening Balance"/>
  </r>
  <r>
    <m/>
    <m/>
    <m/>
    <m/>
    <m/>
    <m/>
    <m/>
    <x v="67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18036-BC88-4C1A-9779-6D38F02B71F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2" firstHeaderRow="1" firstDataRow="1" firstDataCol="1"/>
  <pivotFields count="2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9">
        <item x="42"/>
        <item x="32"/>
        <item x="25"/>
        <item x="0"/>
        <item x="43"/>
        <item x="51"/>
        <item x="20"/>
        <item x="52"/>
        <item x="5"/>
        <item x="1"/>
        <item x="6"/>
        <item x="10"/>
        <item x="53"/>
        <item x="44"/>
        <item x="45"/>
        <item x="33"/>
        <item x="34"/>
        <item x="2"/>
        <item x="54"/>
        <item x="35"/>
        <item x="36"/>
        <item x="55"/>
        <item x="37"/>
        <item x="46"/>
        <item x="47"/>
        <item x="48"/>
        <item x="38"/>
        <item x="39"/>
        <item x="56"/>
        <item x="11"/>
        <item x="12"/>
        <item x="13"/>
        <item x="26"/>
        <item x="21"/>
        <item x="7"/>
        <item x="27"/>
        <item x="28"/>
        <item x="14"/>
        <item x="29"/>
        <item x="59"/>
        <item x="15"/>
        <item x="8"/>
        <item x="22"/>
        <item x="57"/>
        <item x="60"/>
        <item x="9"/>
        <item x="58"/>
        <item x="61"/>
        <item x="23"/>
        <item x="66"/>
        <item x="30"/>
        <item x="31"/>
        <item x="24"/>
        <item x="16"/>
        <item x="3"/>
        <item x="4"/>
        <item x="49"/>
        <item x="65"/>
        <item x="17"/>
        <item x="40"/>
        <item x="19"/>
        <item x="18"/>
        <item x="62"/>
        <item x="50"/>
        <item x="63"/>
        <item x="64"/>
        <item x="41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Items count="1">
    <i/>
  </colItems>
  <dataFields count="1">
    <dataField name="Sum of Amount (Original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7D45D-88A9-420F-A29F-BDFA4395981D}">
  <dimension ref="A3:D72"/>
  <sheetViews>
    <sheetView tabSelected="1" topLeftCell="A3" workbookViewId="0">
      <selection activeCell="D11" sqref="D11"/>
    </sheetView>
  </sheetViews>
  <sheetFormatPr defaultRowHeight="14.4" x14ac:dyDescent="0.3"/>
  <cols>
    <col min="1" max="1" width="12.5546875" bestFit="1" customWidth="1"/>
    <col min="2" max="2" width="22.88671875" bestFit="1" customWidth="1"/>
  </cols>
  <sheetData>
    <row r="3" spans="1:4" x14ac:dyDescent="0.3">
      <c r="A3" s="3" t="s">
        <v>948</v>
      </c>
      <c r="B3" t="s">
        <v>951</v>
      </c>
    </row>
    <row r="4" spans="1:4" x14ac:dyDescent="0.3">
      <c r="A4" s="4">
        <v>1100100</v>
      </c>
      <c r="B4" s="5">
        <v>1350000</v>
      </c>
      <c r="D4">
        <f>VLOOKUP(A4,[1]Sheet1!$A:$A,1,0)</f>
        <v>1100100</v>
      </c>
    </row>
    <row r="5" spans="1:4" x14ac:dyDescent="0.3">
      <c r="A5" s="4">
        <v>1100200</v>
      </c>
      <c r="B5" s="5">
        <v>119667.74</v>
      </c>
      <c r="D5">
        <f>VLOOKUP(A5,[1]Sheet1!$A:$A,1,0)</f>
        <v>1100200</v>
      </c>
    </row>
    <row r="6" spans="1:4" x14ac:dyDescent="0.3">
      <c r="A6" s="4">
        <v>1100201</v>
      </c>
      <c r="B6" s="5">
        <v>0</v>
      </c>
      <c r="D6">
        <f>VLOOKUP(A6,[1]Sheet1!$A:$A,1,0)</f>
        <v>1100201</v>
      </c>
    </row>
    <row r="7" spans="1:4" x14ac:dyDescent="0.3">
      <c r="A7" s="4">
        <v>1100300</v>
      </c>
      <c r="B7" s="5">
        <v>1564689.02</v>
      </c>
      <c r="D7">
        <f>VLOOKUP(A7,[1]Sheet1!$A:$A,1,0)</f>
        <v>1100300</v>
      </c>
    </row>
    <row r="8" spans="1:4" x14ac:dyDescent="0.3">
      <c r="A8" s="4">
        <v>1100301</v>
      </c>
      <c r="B8" s="5">
        <v>0</v>
      </c>
      <c r="D8">
        <f>VLOOKUP(A8,[1]Sheet1!$A:$A,1,0)</f>
        <v>1100301</v>
      </c>
    </row>
    <row r="9" spans="1:4" x14ac:dyDescent="0.3">
      <c r="A9" s="4">
        <v>1100400</v>
      </c>
      <c r="B9" s="5">
        <v>333454.57</v>
      </c>
      <c r="D9">
        <f>VLOOKUP(A9,[1]Sheet1!$A:$A,1,0)</f>
        <v>1100400</v>
      </c>
    </row>
    <row r="10" spans="1:4" x14ac:dyDescent="0.3">
      <c r="A10" s="4">
        <v>1100600</v>
      </c>
      <c r="B10" s="5">
        <v>1722734.12</v>
      </c>
      <c r="D10">
        <f>VLOOKUP(A10,[1]Sheet1!$A:$A,1,0)</f>
        <v>1100600</v>
      </c>
    </row>
    <row r="11" spans="1:4" x14ac:dyDescent="0.3">
      <c r="A11" s="4">
        <v>1100601</v>
      </c>
      <c r="B11" s="5">
        <v>0</v>
      </c>
      <c r="D11">
        <f>VLOOKUP(A11,[1]Sheet1!$A:$A,1,0)</f>
        <v>1100601</v>
      </c>
    </row>
    <row r="12" spans="1:4" x14ac:dyDescent="0.3">
      <c r="A12" s="4">
        <v>1100700</v>
      </c>
      <c r="B12" s="5">
        <v>332054.42</v>
      </c>
      <c r="D12">
        <f>VLOOKUP(A12,[1]Sheet1!$A:$A,1,0)</f>
        <v>1100700</v>
      </c>
    </row>
    <row r="13" spans="1:4" x14ac:dyDescent="0.3">
      <c r="A13" s="4">
        <v>1110100</v>
      </c>
      <c r="B13" s="5">
        <v>-522580.42</v>
      </c>
      <c r="D13">
        <f>VLOOKUP(A13,[1]Sheet1!$A:$A,1,0)</f>
        <v>1110100</v>
      </c>
    </row>
    <row r="14" spans="1:4" x14ac:dyDescent="0.3">
      <c r="A14" s="4">
        <v>1110102</v>
      </c>
      <c r="B14" s="5">
        <v>0</v>
      </c>
      <c r="D14">
        <f>VLOOKUP(A14,[1]Sheet1!$A:$A,1,0)</f>
        <v>1110102</v>
      </c>
    </row>
    <row r="15" spans="1:4" x14ac:dyDescent="0.3">
      <c r="A15" s="4">
        <v>1110200</v>
      </c>
      <c r="B15" s="5">
        <v>-118198.72</v>
      </c>
      <c r="D15">
        <f>VLOOKUP(A15,[1]Sheet1!$A:$A,1,0)</f>
        <v>1110200</v>
      </c>
    </row>
    <row r="16" spans="1:4" x14ac:dyDescent="0.3">
      <c r="A16" s="4">
        <v>1110202</v>
      </c>
      <c r="B16" s="5">
        <v>0</v>
      </c>
      <c r="D16">
        <f>VLOOKUP(A16,[1]Sheet1!$A:$A,1,0)</f>
        <v>1110202</v>
      </c>
    </row>
    <row r="17" spans="1:4" x14ac:dyDescent="0.3">
      <c r="A17" s="4">
        <v>1110300</v>
      </c>
      <c r="B17" s="5">
        <v>-1161195.3399999999</v>
      </c>
      <c r="D17">
        <f>VLOOKUP(A17,[1]Sheet1!$A:$A,1,0)</f>
        <v>1110300</v>
      </c>
    </row>
    <row r="18" spans="1:4" x14ac:dyDescent="0.3">
      <c r="A18" s="4">
        <v>1110302</v>
      </c>
      <c r="B18" s="5">
        <v>0</v>
      </c>
      <c r="D18">
        <f>VLOOKUP(A18,[1]Sheet1!$A:$A,1,0)</f>
        <v>1110302</v>
      </c>
    </row>
    <row r="19" spans="1:4" x14ac:dyDescent="0.3">
      <c r="A19" s="4">
        <v>1110400</v>
      </c>
      <c r="B19" s="5">
        <v>-317785.01</v>
      </c>
      <c r="D19">
        <f>VLOOKUP(A19,[1]Sheet1!$A:$A,1,0)</f>
        <v>1110400</v>
      </c>
    </row>
    <row r="20" spans="1:4" x14ac:dyDescent="0.3">
      <c r="A20" s="4">
        <v>1110402</v>
      </c>
      <c r="B20" s="5">
        <v>0</v>
      </c>
      <c r="D20">
        <f>VLOOKUP(A20,[1]Sheet1!$A:$A,1,0)</f>
        <v>1110402</v>
      </c>
    </row>
    <row r="21" spans="1:4" x14ac:dyDescent="0.3">
      <c r="A21" s="4">
        <v>1110600</v>
      </c>
      <c r="B21" s="5">
        <v>-1613201.56</v>
      </c>
      <c r="D21">
        <f>VLOOKUP(A21,[1]Sheet1!$A:$A,1,0)</f>
        <v>1110600</v>
      </c>
    </row>
    <row r="22" spans="1:4" x14ac:dyDescent="0.3">
      <c r="A22" s="4">
        <v>1110602</v>
      </c>
      <c r="B22" s="5">
        <v>0</v>
      </c>
      <c r="D22">
        <f>VLOOKUP(A22,[1]Sheet1!$A:$A,1,0)</f>
        <v>1110602</v>
      </c>
    </row>
    <row r="23" spans="1:4" x14ac:dyDescent="0.3">
      <c r="A23" s="4">
        <v>1110700</v>
      </c>
      <c r="B23" s="5">
        <v>-332054.31</v>
      </c>
      <c r="D23">
        <f>VLOOKUP(A23,[1]Sheet1!$A:$A,1,0)</f>
        <v>1110700</v>
      </c>
    </row>
    <row r="24" spans="1:4" x14ac:dyDescent="0.3">
      <c r="A24" s="4">
        <v>1125100</v>
      </c>
      <c r="B24" s="5">
        <v>1422216.27</v>
      </c>
      <c r="D24">
        <f>VLOOKUP(A24,[1]Sheet1!$A:$A,1,0)</f>
        <v>1125100</v>
      </c>
    </row>
    <row r="25" spans="1:4" x14ac:dyDescent="0.3">
      <c r="A25" s="4">
        <v>1125101</v>
      </c>
      <c r="B25" s="5">
        <v>2409056.7599999998</v>
      </c>
      <c r="D25">
        <f>VLOOKUP(A25,[1]Sheet1!$A:$A,1,0)</f>
        <v>1125101</v>
      </c>
    </row>
    <row r="26" spans="1:4" x14ac:dyDescent="0.3">
      <c r="A26" s="4">
        <v>1125102</v>
      </c>
      <c r="B26" s="5">
        <v>245818</v>
      </c>
      <c r="D26">
        <f>VLOOKUP(A26,[1]Sheet1!$A:$A,1,0)</f>
        <v>1125102</v>
      </c>
    </row>
    <row r="27" spans="1:4" x14ac:dyDescent="0.3">
      <c r="A27" s="4">
        <v>1125201</v>
      </c>
      <c r="B27" s="5">
        <v>76780.59</v>
      </c>
      <c r="D27">
        <f>VLOOKUP(A27,[1]Sheet1!$A:$A,1,0)</f>
        <v>1125201</v>
      </c>
    </row>
    <row r="28" spans="1:4" x14ac:dyDescent="0.3">
      <c r="A28" s="4">
        <v>1130000</v>
      </c>
      <c r="B28" s="5">
        <v>25073474.59</v>
      </c>
      <c r="D28">
        <f>VLOOKUP(A28,[1]Sheet1!$A:$A,1,0)</f>
        <v>1130000</v>
      </c>
    </row>
    <row r="29" spans="1:4" x14ac:dyDescent="0.3">
      <c r="A29" s="4">
        <v>1131020</v>
      </c>
      <c r="B29" s="5">
        <v>594104.81000000006</v>
      </c>
      <c r="D29">
        <f>VLOOKUP(A29,[1]Sheet1!$A:$A,1,0)</f>
        <v>1131020</v>
      </c>
    </row>
    <row r="30" spans="1:4" x14ac:dyDescent="0.3">
      <c r="A30" s="4">
        <v>1200000</v>
      </c>
      <c r="B30" s="5">
        <v>615719.23</v>
      </c>
      <c r="D30">
        <f>VLOOKUP(A30,[1]Sheet1!$A:$A,1,0)</f>
        <v>1200000</v>
      </c>
    </row>
    <row r="31" spans="1:4" x14ac:dyDescent="0.3">
      <c r="A31" s="4">
        <v>1210000</v>
      </c>
      <c r="B31" s="5">
        <v>387015.98</v>
      </c>
      <c r="D31">
        <f>VLOOKUP(A31,[1]Sheet1!$A:$A,1,0)</f>
        <v>1210000</v>
      </c>
    </row>
    <row r="32" spans="1:4" x14ac:dyDescent="0.3">
      <c r="A32" s="4">
        <v>1210100</v>
      </c>
      <c r="B32" s="5">
        <v>460.43</v>
      </c>
      <c r="D32">
        <f>VLOOKUP(A32,[1]Sheet1!$A:$A,1,0)</f>
        <v>1210100</v>
      </c>
    </row>
    <row r="33" spans="1:4" x14ac:dyDescent="0.3">
      <c r="A33" s="4">
        <v>1211015</v>
      </c>
      <c r="B33" s="5">
        <v>1.17</v>
      </c>
      <c r="D33">
        <f>VLOOKUP(A33,[1]Sheet1!$A:$A,1,0)</f>
        <v>1211015</v>
      </c>
    </row>
    <row r="34" spans="1:4" x14ac:dyDescent="0.3">
      <c r="A34" s="4">
        <v>1211019</v>
      </c>
      <c r="B34" s="5">
        <v>0.49</v>
      </c>
      <c r="D34">
        <f>VLOOKUP(A34,[1]Sheet1!$A:$A,1,0)</f>
        <v>1211019</v>
      </c>
    </row>
    <row r="35" spans="1:4" x14ac:dyDescent="0.3">
      <c r="A35" s="4">
        <v>1213202</v>
      </c>
      <c r="B35" s="5">
        <v>11748859</v>
      </c>
      <c r="D35">
        <f>VLOOKUP(A35,[1]Sheet1!$A:$A,1,0)</f>
        <v>1213202</v>
      </c>
    </row>
    <row r="36" spans="1:4" x14ac:dyDescent="0.3">
      <c r="A36" s="4">
        <v>1213204</v>
      </c>
      <c r="B36" s="5">
        <v>2261318.7799999998</v>
      </c>
      <c r="D36">
        <f>VLOOKUP(A36,[1]Sheet1!$A:$A,1,0)</f>
        <v>1213204</v>
      </c>
    </row>
    <row r="37" spans="1:4" x14ac:dyDescent="0.3">
      <c r="A37" s="4">
        <v>1214202</v>
      </c>
      <c r="B37" s="5">
        <v>-11772781</v>
      </c>
      <c r="D37">
        <f>VLOOKUP(A37,[1]Sheet1!$A:$A,1,0)</f>
        <v>1214202</v>
      </c>
    </row>
    <row r="38" spans="1:4" x14ac:dyDescent="0.3">
      <c r="A38" s="4">
        <v>1214204</v>
      </c>
      <c r="B38" s="5">
        <v>-2261318.7799999998</v>
      </c>
      <c r="D38">
        <f>VLOOKUP(A38,[1]Sheet1!$A:$A,1,0)</f>
        <v>1214204</v>
      </c>
    </row>
    <row r="39" spans="1:4" x14ac:dyDescent="0.3">
      <c r="A39" s="4">
        <v>1215002</v>
      </c>
      <c r="B39" s="5">
        <v>23921.96</v>
      </c>
      <c r="D39">
        <f>VLOOKUP(A39,[1]Sheet1!$A:$A,1,0)</f>
        <v>1215002</v>
      </c>
    </row>
    <row r="40" spans="1:4" x14ac:dyDescent="0.3">
      <c r="A40" s="4">
        <v>1225100</v>
      </c>
      <c r="B40" s="5">
        <v>-81422.2</v>
      </c>
      <c r="D40">
        <f>VLOOKUP(A40,[1]Sheet1!$A:$A,1,0)</f>
        <v>1225100</v>
      </c>
    </row>
    <row r="41" spans="1:4" x14ac:dyDescent="0.3">
      <c r="A41" s="4">
        <v>1225102</v>
      </c>
      <c r="B41" s="5">
        <v>-3013555.0300000003</v>
      </c>
      <c r="D41">
        <f>VLOOKUP(A41,[1]Sheet1!$A:$A,1,0)</f>
        <v>1225102</v>
      </c>
    </row>
    <row r="42" spans="1:4" x14ac:dyDescent="0.3">
      <c r="A42" s="4">
        <v>1225202</v>
      </c>
      <c r="B42" s="5">
        <v>-27203.51999999999</v>
      </c>
      <c r="D42">
        <f>VLOOKUP(A42,[1]Sheet1!$A:$A,1,0)</f>
        <v>1225202</v>
      </c>
    </row>
    <row r="43" spans="1:4" x14ac:dyDescent="0.3">
      <c r="A43" s="4">
        <v>1240000</v>
      </c>
      <c r="B43" s="5">
        <v>59381.56</v>
      </c>
      <c r="D43">
        <f>VLOOKUP(A43,[1]Sheet1!$A:$A,1,0)</f>
        <v>1240000</v>
      </c>
    </row>
    <row r="44" spans="1:4" x14ac:dyDescent="0.3">
      <c r="A44" s="4">
        <v>1240001</v>
      </c>
      <c r="B44" s="5">
        <v>767504.67000000016</v>
      </c>
      <c r="D44">
        <f>VLOOKUP(A44,[1]Sheet1!$A:$A,1,0)</f>
        <v>1240001</v>
      </c>
    </row>
    <row r="45" spans="1:4" x14ac:dyDescent="0.3">
      <c r="A45" s="4">
        <v>1242102</v>
      </c>
      <c r="B45" s="5">
        <v>35933.51</v>
      </c>
      <c r="D45">
        <f>VLOOKUP(A45,[1]Sheet1!$A:$A,1,0)</f>
        <v>1242102</v>
      </c>
    </row>
    <row r="46" spans="1:4" x14ac:dyDescent="0.3">
      <c r="A46" s="4">
        <v>1243000</v>
      </c>
      <c r="B46" s="5">
        <v>194764.89</v>
      </c>
      <c r="D46">
        <f>VLOOKUP(A46,[1]Sheet1!$A:$A,1,0)</f>
        <v>1243000</v>
      </c>
    </row>
    <row r="47" spans="1:4" x14ac:dyDescent="0.3">
      <c r="A47" s="4">
        <v>1243803</v>
      </c>
      <c r="B47" s="5">
        <v>-41.78</v>
      </c>
      <c r="D47">
        <f>VLOOKUP(A47,[1]Sheet1!$A:$A,1,0)</f>
        <v>1243803</v>
      </c>
    </row>
    <row r="48" spans="1:4" x14ac:dyDescent="0.3">
      <c r="A48" s="4">
        <v>1243810</v>
      </c>
      <c r="B48" s="5">
        <v>2606.2699999999868</v>
      </c>
      <c r="D48">
        <f>VLOOKUP(A48,[1]Sheet1!$A:$A,1,0)</f>
        <v>1243810</v>
      </c>
    </row>
    <row r="49" spans="1:4" x14ac:dyDescent="0.3">
      <c r="A49" s="4">
        <v>1243816</v>
      </c>
      <c r="B49" s="5">
        <v>114714.32</v>
      </c>
      <c r="D49">
        <f>VLOOKUP(A49,[1]Sheet1!$A:$A,1,0)</f>
        <v>1243816</v>
      </c>
    </row>
    <row r="50" spans="1:4" x14ac:dyDescent="0.3">
      <c r="A50" s="4">
        <v>1244130</v>
      </c>
      <c r="B50" s="5">
        <v>24525.07</v>
      </c>
      <c r="D50">
        <f>VLOOKUP(A50,[1]Sheet1!$A:$A,1,0)</f>
        <v>1244130</v>
      </c>
    </row>
    <row r="51" spans="1:4" x14ac:dyDescent="0.3">
      <c r="A51" s="4">
        <v>1244230</v>
      </c>
      <c r="B51" s="5">
        <v>-1</v>
      </c>
      <c r="D51">
        <f>VLOOKUP(A51,[1]Sheet1!$A:$A,1,0)</f>
        <v>1244230</v>
      </c>
    </row>
    <row r="52" spans="1:4" x14ac:dyDescent="0.3">
      <c r="A52" s="4">
        <v>1244242</v>
      </c>
      <c r="B52" s="5">
        <v>-30752.06</v>
      </c>
      <c r="D52">
        <f>VLOOKUP(A52,[1]Sheet1!$A:$A,1,0)</f>
        <v>1244242</v>
      </c>
    </row>
    <row r="53" spans="1:4" x14ac:dyDescent="0.3">
      <c r="A53" s="4">
        <v>3065047</v>
      </c>
      <c r="B53" s="5">
        <v>-95693.34</v>
      </c>
      <c r="D53">
        <f>VLOOKUP(A53,[1]Sheet1!$A:$A,1,0)</f>
        <v>3065047</v>
      </c>
    </row>
    <row r="54" spans="1:4" x14ac:dyDescent="0.3">
      <c r="A54" s="4">
        <v>3101000</v>
      </c>
      <c r="B54" s="5">
        <v>-70864.45</v>
      </c>
      <c r="D54">
        <f>VLOOKUP(A54,[1]Sheet1!$A:$A,1,0)</f>
        <v>3101000</v>
      </c>
    </row>
    <row r="55" spans="1:4" x14ac:dyDescent="0.3">
      <c r="A55" s="4">
        <v>3103000</v>
      </c>
      <c r="B55" s="5">
        <v>-4459841.92</v>
      </c>
      <c r="D55">
        <f>VLOOKUP(A55,[1]Sheet1!$A:$A,1,0)</f>
        <v>3103000</v>
      </c>
    </row>
    <row r="56" spans="1:4" x14ac:dyDescent="0.3">
      <c r="A56" s="4">
        <v>3121107</v>
      </c>
      <c r="B56" s="5">
        <v>-55458.03</v>
      </c>
      <c r="D56">
        <f>VLOOKUP(A56,[1]Sheet1!$A:$A,1,0)</f>
        <v>3121107</v>
      </c>
    </row>
    <row r="57" spans="1:4" x14ac:dyDescent="0.3">
      <c r="A57" s="4">
        <v>3121400</v>
      </c>
      <c r="B57" s="5">
        <v>-299605.15999999997</v>
      </c>
      <c r="D57">
        <f>VLOOKUP(A57,[1]Sheet1!$A:$A,1,0)</f>
        <v>3121400</v>
      </c>
    </row>
    <row r="58" spans="1:4" x14ac:dyDescent="0.3">
      <c r="A58" s="4">
        <v>3121401</v>
      </c>
      <c r="B58" s="5">
        <v>-0.42</v>
      </c>
      <c r="D58">
        <f>VLOOKUP(A58,[1]Sheet1!$A:$A,1,0)</f>
        <v>3121401</v>
      </c>
    </row>
    <row r="59" spans="1:4" x14ac:dyDescent="0.3">
      <c r="A59" s="4">
        <v>3122200</v>
      </c>
      <c r="B59" s="5">
        <v>-0.18</v>
      </c>
      <c r="D59">
        <f>VLOOKUP(A59,[1]Sheet1!$A:$A,1,0)</f>
        <v>3122200</v>
      </c>
    </row>
    <row r="60" spans="1:4" x14ac:dyDescent="0.3">
      <c r="A60" s="4">
        <v>3123701</v>
      </c>
      <c r="B60" s="5">
        <v>-1176608.5699999998</v>
      </c>
      <c r="D60">
        <f>VLOOKUP(A60,[1]Sheet1!$A:$A,1,0)</f>
        <v>3123701</v>
      </c>
    </row>
    <row r="61" spans="1:4" x14ac:dyDescent="0.3">
      <c r="A61" s="4">
        <v>3123706</v>
      </c>
      <c r="B61" s="5">
        <v>-80960.040000000008</v>
      </c>
      <c r="D61">
        <f>VLOOKUP(A61,[1]Sheet1!$A:$A,1,0)</f>
        <v>3123706</v>
      </c>
    </row>
    <row r="62" spans="1:4" x14ac:dyDescent="0.3">
      <c r="A62" s="4">
        <v>3123999</v>
      </c>
      <c r="B62" s="5">
        <v>9631.84</v>
      </c>
      <c r="D62">
        <f>VLOOKUP(A62,[1]Sheet1!$A:$A,1,0)</f>
        <v>3123999</v>
      </c>
    </row>
    <row r="63" spans="1:4" x14ac:dyDescent="0.3">
      <c r="A63" s="4">
        <v>3203010</v>
      </c>
      <c r="B63" s="5">
        <v>-34092.319999999992</v>
      </c>
      <c r="D63">
        <f>VLOOKUP(A63,[1]Sheet1!$A:$A,1,0)</f>
        <v>3203010</v>
      </c>
    </row>
    <row r="64" spans="1:4" x14ac:dyDescent="0.3">
      <c r="A64" s="4">
        <v>3203040</v>
      </c>
      <c r="B64" s="5">
        <v>0.13</v>
      </c>
      <c r="D64">
        <f>VLOOKUP(A64,[1]Sheet1!$A:$A,1,0)</f>
        <v>3203040</v>
      </c>
    </row>
    <row r="65" spans="1:4" x14ac:dyDescent="0.3">
      <c r="A65" s="4">
        <v>3203070</v>
      </c>
      <c r="B65" s="5">
        <v>68166672.229999989</v>
      </c>
      <c r="D65">
        <f>VLOOKUP(A65,[1]Sheet1!$A:$A,1,0)</f>
        <v>3203070</v>
      </c>
    </row>
    <row r="66" spans="1:4" x14ac:dyDescent="0.3">
      <c r="A66" s="4">
        <v>3203075</v>
      </c>
      <c r="B66" s="5">
        <v>-78764966.719999999</v>
      </c>
      <c r="D66">
        <f>VLOOKUP(A66,[1]Sheet1!$A:$A,1,0)</f>
        <v>3203075</v>
      </c>
    </row>
    <row r="67" spans="1:4" x14ac:dyDescent="0.3">
      <c r="A67" s="4">
        <v>3209000</v>
      </c>
      <c r="B67" s="5">
        <v>-828703.25</v>
      </c>
      <c r="D67">
        <f>VLOOKUP(A67,[1]Sheet1!$A:$A,1,0)</f>
        <v>3209000</v>
      </c>
    </row>
    <row r="68" spans="1:4" x14ac:dyDescent="0.3">
      <c r="A68" s="4">
        <v>3209002</v>
      </c>
      <c r="B68" s="5">
        <v>-54692.75</v>
      </c>
      <c r="D68">
        <f>VLOOKUP(A68,[1]Sheet1!$A:$A,1,0)</f>
        <v>3209002</v>
      </c>
    </row>
    <row r="69" spans="1:4" x14ac:dyDescent="0.3">
      <c r="A69" s="4">
        <v>3209500</v>
      </c>
      <c r="B69" s="5">
        <v>-397093.78</v>
      </c>
      <c r="D69">
        <f>VLOOKUP(A69,[1]Sheet1!$A:$A,1,0)</f>
        <v>3209500</v>
      </c>
    </row>
    <row r="70" spans="1:4" x14ac:dyDescent="0.3">
      <c r="A70" s="4">
        <v>3302000</v>
      </c>
      <c r="B70" s="5">
        <v>-12086410.759999994</v>
      </c>
      <c r="D70">
        <f>VLOOKUP(A70,[1]Sheet1!$A:$A,1,0)</f>
        <v>3302000</v>
      </c>
    </row>
    <row r="71" spans="1:4" x14ac:dyDescent="0.3">
      <c r="A71" s="4" t="s">
        <v>949</v>
      </c>
      <c r="B71" s="5"/>
      <c r="D71" t="e">
        <f>VLOOKUP(A71,[1]Sheet1!$A:$A,1,0)</f>
        <v>#N/A</v>
      </c>
    </row>
    <row r="72" spans="1:4" x14ac:dyDescent="0.3">
      <c r="A72" s="4" t="s">
        <v>950</v>
      </c>
      <c r="B72" s="5">
        <v>0</v>
      </c>
      <c r="D72" t="e">
        <f>VLOOKUP(A72,[1]Sheet1!$A:$A,1,0)</f>
        <v>#N/A</v>
      </c>
    </row>
  </sheetData>
  <autoFilter ref="D4:D72" xr:uid="{C4C7D45D-88A9-420F-A29F-BDFA4395981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ABA1-DC2C-40EB-98A6-D2538894AF64}">
  <dimension ref="A1:X531"/>
  <sheetViews>
    <sheetView workbookViewId="0">
      <selection sqref="A1:XFD1048576"/>
    </sheetView>
  </sheetViews>
  <sheetFormatPr defaultRowHeight="14.4" x14ac:dyDescent="0.3"/>
  <cols>
    <col min="1" max="1" width="13.21875" bestFit="1" customWidth="1"/>
    <col min="2" max="2" width="8.109375" bestFit="1" customWidth="1"/>
    <col min="3" max="3" width="5.88671875" bestFit="1" customWidth="1"/>
    <col min="4" max="4" width="15.33203125" bestFit="1" customWidth="1"/>
    <col min="5" max="5" width="16.88671875" bestFit="1" customWidth="1"/>
    <col min="6" max="6" width="12.88671875" bestFit="1" customWidth="1"/>
    <col min="7" max="7" width="16.109375" bestFit="1" customWidth="1"/>
    <col min="8" max="8" width="12.33203125" bestFit="1" customWidth="1"/>
    <col min="9" max="9" width="11.88671875" bestFit="1" customWidth="1"/>
    <col min="10" max="10" width="11.21875" bestFit="1" customWidth="1"/>
    <col min="11" max="11" width="22.109375" bestFit="1" customWidth="1"/>
    <col min="12" max="12" width="18.21875" bestFit="1" customWidth="1"/>
    <col min="13" max="13" width="15" bestFit="1" customWidth="1"/>
    <col min="14" max="14" width="20" bestFit="1" customWidth="1"/>
    <col min="15" max="15" width="22" bestFit="1" customWidth="1"/>
    <col min="16" max="16" width="20.6640625" bestFit="1" customWidth="1"/>
    <col min="17" max="17" width="22.6640625" bestFit="1" customWidth="1"/>
    <col min="18" max="18" width="13.21875" bestFit="1" customWidth="1"/>
    <col min="19" max="19" width="50.44140625" bestFit="1" customWidth="1"/>
    <col min="20" max="20" width="10" bestFit="1" customWidth="1"/>
    <col min="21" max="21" width="9.33203125" bestFit="1" customWidth="1"/>
    <col min="22" max="22" width="14" bestFit="1" customWidth="1"/>
    <col min="23" max="23" width="15.44140625" bestFit="1" customWidth="1"/>
    <col min="24" max="24" width="2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>
        <v>1527689.02</v>
      </c>
      <c r="E2">
        <v>1211563.2</v>
      </c>
      <c r="F2">
        <v>1527689.02</v>
      </c>
      <c r="G2" t="s">
        <v>27</v>
      </c>
      <c r="H2">
        <v>1100300</v>
      </c>
      <c r="I2" t="s">
        <v>28</v>
      </c>
      <c r="J2" t="s">
        <v>29</v>
      </c>
      <c r="K2" t="s">
        <v>30</v>
      </c>
      <c r="M2" s="1">
        <v>45658</v>
      </c>
      <c r="O2" s="2">
        <v>3.0515046296296297E-2</v>
      </c>
      <c r="P2" t="s">
        <v>31</v>
      </c>
      <c r="Q2" s="2">
        <v>3.0515046296296297E-2</v>
      </c>
      <c r="V2" s="2">
        <v>3.0679398148148147E-2</v>
      </c>
      <c r="W2" t="s">
        <v>32</v>
      </c>
      <c r="X2" t="s">
        <v>30</v>
      </c>
    </row>
    <row r="3" spans="1:24" x14ac:dyDescent="0.3">
      <c r="A3" t="s">
        <v>33</v>
      </c>
      <c r="B3" t="s">
        <v>25</v>
      </c>
      <c r="C3" t="s">
        <v>26</v>
      </c>
      <c r="D3">
        <v>-348386.86</v>
      </c>
      <c r="E3">
        <v>-255755.71</v>
      </c>
      <c r="F3">
        <v>-348386.86</v>
      </c>
      <c r="G3" t="s">
        <v>27</v>
      </c>
      <c r="H3">
        <v>1110100</v>
      </c>
      <c r="I3" t="s">
        <v>34</v>
      </c>
      <c r="J3" t="s">
        <v>29</v>
      </c>
      <c r="K3" t="s">
        <v>30</v>
      </c>
      <c r="M3" s="1">
        <v>45658</v>
      </c>
      <c r="O3" s="2">
        <v>3.0515046296296297E-2</v>
      </c>
      <c r="P3" t="s">
        <v>31</v>
      </c>
      <c r="Q3" s="2">
        <v>3.0515046296296297E-2</v>
      </c>
      <c r="V3" s="2">
        <v>3.0679398148148147E-2</v>
      </c>
      <c r="W3" t="s">
        <v>32</v>
      </c>
      <c r="X3" t="s">
        <v>30</v>
      </c>
    </row>
    <row r="4" spans="1:24" x14ac:dyDescent="0.3">
      <c r="A4" t="s">
        <v>35</v>
      </c>
      <c r="B4" t="s">
        <v>25</v>
      </c>
      <c r="C4" t="s">
        <v>26</v>
      </c>
      <c r="D4">
        <v>-1532836.01</v>
      </c>
      <c r="E4">
        <v>-1173484.49</v>
      </c>
      <c r="F4">
        <v>-1532836.01</v>
      </c>
      <c r="G4" t="s">
        <v>27</v>
      </c>
      <c r="H4">
        <v>1110600</v>
      </c>
      <c r="I4" t="s">
        <v>36</v>
      </c>
      <c r="J4" t="s">
        <v>29</v>
      </c>
      <c r="K4" t="s">
        <v>30</v>
      </c>
      <c r="M4" s="1">
        <v>45658</v>
      </c>
      <c r="O4" s="2">
        <v>3.0515046296296297E-2</v>
      </c>
      <c r="P4" t="s">
        <v>31</v>
      </c>
      <c r="Q4" s="2">
        <v>3.0515046296296297E-2</v>
      </c>
      <c r="V4" s="2">
        <v>3.0679398148148147E-2</v>
      </c>
      <c r="W4" t="s">
        <v>32</v>
      </c>
      <c r="X4" t="s">
        <v>30</v>
      </c>
    </row>
    <row r="5" spans="1:24" x14ac:dyDescent="0.3">
      <c r="A5" t="s">
        <v>37</v>
      </c>
      <c r="B5" t="s">
        <v>25</v>
      </c>
      <c r="C5" t="s">
        <v>26</v>
      </c>
      <c r="D5">
        <v>-0.42</v>
      </c>
      <c r="E5">
        <v>-0.31</v>
      </c>
      <c r="F5">
        <v>-0.42</v>
      </c>
      <c r="G5" t="s">
        <v>38</v>
      </c>
      <c r="H5">
        <v>3121401</v>
      </c>
      <c r="I5" t="s">
        <v>39</v>
      </c>
      <c r="J5" t="s">
        <v>29</v>
      </c>
      <c r="K5" t="s">
        <v>30</v>
      </c>
      <c r="M5" s="1">
        <v>45658</v>
      </c>
      <c r="O5" s="2">
        <v>3.0515046296296297E-2</v>
      </c>
      <c r="P5" t="s">
        <v>31</v>
      </c>
      <c r="Q5" s="2">
        <v>3.0515046296296297E-2</v>
      </c>
      <c r="V5" s="2">
        <v>3.0679398148148147E-2</v>
      </c>
      <c r="W5" t="s">
        <v>32</v>
      </c>
      <c r="X5" t="s">
        <v>30</v>
      </c>
    </row>
    <row r="6" spans="1:24" x14ac:dyDescent="0.3">
      <c r="A6" t="s">
        <v>40</v>
      </c>
      <c r="B6" t="s">
        <v>25</v>
      </c>
      <c r="C6" t="s">
        <v>26</v>
      </c>
      <c r="D6">
        <v>-0.18</v>
      </c>
      <c r="E6">
        <v>2017.15</v>
      </c>
      <c r="F6">
        <v>-0.18</v>
      </c>
      <c r="G6" t="s">
        <v>27</v>
      </c>
      <c r="H6">
        <v>3122200</v>
      </c>
      <c r="I6" t="s">
        <v>41</v>
      </c>
      <c r="J6" t="s">
        <v>29</v>
      </c>
      <c r="K6" t="s">
        <v>30</v>
      </c>
      <c r="M6" s="1">
        <v>45658</v>
      </c>
      <c r="O6" s="2">
        <v>3.0515046296296297E-2</v>
      </c>
      <c r="P6" t="s">
        <v>31</v>
      </c>
      <c r="Q6" s="2">
        <v>3.0515046296296297E-2</v>
      </c>
      <c r="V6" s="2">
        <v>3.0679398148148147E-2</v>
      </c>
      <c r="W6" t="s">
        <v>32</v>
      </c>
      <c r="X6" t="s">
        <v>30</v>
      </c>
    </row>
    <row r="7" spans="1:24" x14ac:dyDescent="0.3">
      <c r="A7" t="s">
        <v>42</v>
      </c>
      <c r="B7" t="s">
        <v>43</v>
      </c>
      <c r="C7" t="s">
        <v>26</v>
      </c>
      <c r="D7">
        <v>37000</v>
      </c>
      <c r="E7">
        <v>27537.96</v>
      </c>
      <c r="F7">
        <v>37000</v>
      </c>
      <c r="G7" t="s">
        <v>27</v>
      </c>
      <c r="H7">
        <v>1100300</v>
      </c>
      <c r="I7" t="s">
        <v>28</v>
      </c>
      <c r="J7" t="s">
        <v>44</v>
      </c>
      <c r="K7" t="s">
        <v>45</v>
      </c>
      <c r="M7" s="1">
        <v>45658</v>
      </c>
      <c r="O7" s="2">
        <v>3.0515046296296297E-2</v>
      </c>
      <c r="P7" t="s">
        <v>31</v>
      </c>
      <c r="Q7" s="2">
        <v>3.0515046296296297E-2</v>
      </c>
      <c r="V7" s="2">
        <v>4.1190972222222226E-2</v>
      </c>
      <c r="W7" t="s">
        <v>32</v>
      </c>
      <c r="X7" t="s">
        <v>46</v>
      </c>
    </row>
    <row r="8" spans="1:24" x14ac:dyDescent="0.3">
      <c r="A8" t="s">
        <v>47</v>
      </c>
      <c r="B8" t="s">
        <v>43</v>
      </c>
      <c r="C8" t="s">
        <v>26</v>
      </c>
      <c r="D8">
        <v>-174193.56</v>
      </c>
      <c r="E8">
        <v>-130567.29</v>
      </c>
      <c r="F8">
        <v>-174193.56</v>
      </c>
      <c r="G8" t="s">
        <v>27</v>
      </c>
      <c r="H8">
        <v>1110100</v>
      </c>
      <c r="I8" t="s">
        <v>34</v>
      </c>
      <c r="J8" t="s">
        <v>44</v>
      </c>
      <c r="K8" t="s">
        <v>45</v>
      </c>
      <c r="M8" s="1">
        <v>45658</v>
      </c>
      <c r="O8" s="2">
        <v>3.0515046296296297E-2</v>
      </c>
      <c r="P8" t="s">
        <v>31</v>
      </c>
      <c r="Q8" s="2">
        <v>3.0515046296296297E-2</v>
      </c>
      <c r="V8" s="2">
        <v>3.0679398148148147E-2</v>
      </c>
      <c r="W8" t="s">
        <v>32</v>
      </c>
      <c r="X8" t="s">
        <v>48</v>
      </c>
    </row>
    <row r="9" spans="1:24" x14ac:dyDescent="0.3">
      <c r="A9" t="s">
        <v>49</v>
      </c>
      <c r="B9" t="s">
        <v>43</v>
      </c>
      <c r="C9" t="s">
        <v>26</v>
      </c>
      <c r="D9">
        <v>-80365.55</v>
      </c>
      <c r="E9">
        <v>-60255.34</v>
      </c>
      <c r="F9">
        <v>-80365.55</v>
      </c>
      <c r="G9" t="s">
        <v>27</v>
      </c>
      <c r="H9">
        <v>1110600</v>
      </c>
      <c r="I9" t="s">
        <v>36</v>
      </c>
      <c r="J9" t="s">
        <v>44</v>
      </c>
      <c r="K9" t="s">
        <v>45</v>
      </c>
      <c r="M9" s="1">
        <v>45658</v>
      </c>
      <c r="O9" s="2">
        <v>3.0515046296296297E-2</v>
      </c>
      <c r="P9" t="s">
        <v>31</v>
      </c>
      <c r="Q9" s="2">
        <v>3.0515046296296297E-2</v>
      </c>
      <c r="V9" s="2">
        <v>3.0679398148148147E-2</v>
      </c>
      <c r="W9" t="s">
        <v>32</v>
      </c>
      <c r="X9" t="s">
        <v>50</v>
      </c>
    </row>
    <row r="10" spans="1:24" x14ac:dyDescent="0.3">
      <c r="A10" t="s">
        <v>51</v>
      </c>
      <c r="B10" t="s">
        <v>25</v>
      </c>
      <c r="C10" t="s">
        <v>26</v>
      </c>
      <c r="D10">
        <v>332054.42</v>
      </c>
      <c r="E10">
        <v>295117.40000000002</v>
      </c>
      <c r="F10">
        <v>332054.42</v>
      </c>
      <c r="G10" t="s">
        <v>27</v>
      </c>
      <c r="H10">
        <v>1100700</v>
      </c>
      <c r="I10" t="s">
        <v>52</v>
      </c>
      <c r="J10" t="s">
        <v>29</v>
      </c>
      <c r="K10" t="s">
        <v>30</v>
      </c>
      <c r="M10" s="1">
        <v>45658</v>
      </c>
      <c r="O10" s="2">
        <v>3.0515046296296297E-2</v>
      </c>
      <c r="P10" t="s">
        <v>31</v>
      </c>
      <c r="Q10" s="2">
        <v>3.0515046296296297E-2</v>
      </c>
      <c r="V10" s="2">
        <v>3.0679398148148147E-2</v>
      </c>
      <c r="W10" t="s">
        <v>32</v>
      </c>
      <c r="X10" t="s">
        <v>30</v>
      </c>
    </row>
    <row r="11" spans="1:24" x14ac:dyDescent="0.3">
      <c r="A11" t="s">
        <v>53</v>
      </c>
      <c r="B11" t="s">
        <v>25</v>
      </c>
      <c r="C11" t="s">
        <v>26</v>
      </c>
      <c r="D11">
        <v>-174193.56</v>
      </c>
      <c r="E11">
        <v>-130567.29</v>
      </c>
      <c r="F11">
        <v>-174193.56</v>
      </c>
      <c r="G11" t="s">
        <v>27</v>
      </c>
      <c r="H11">
        <v>1110102</v>
      </c>
      <c r="I11" t="s">
        <v>34</v>
      </c>
      <c r="J11" t="s">
        <v>29</v>
      </c>
      <c r="K11" t="s">
        <v>30</v>
      </c>
      <c r="M11" s="1">
        <v>45658</v>
      </c>
      <c r="O11" s="2">
        <v>3.0515046296296297E-2</v>
      </c>
      <c r="P11" t="s">
        <v>31</v>
      </c>
      <c r="Q11" s="2">
        <v>3.0515046296296297E-2</v>
      </c>
      <c r="V11" s="2">
        <v>3.0679398148148147E-2</v>
      </c>
      <c r="W11" t="s">
        <v>32</v>
      </c>
      <c r="X11" t="s">
        <v>30</v>
      </c>
    </row>
    <row r="12" spans="1:24" x14ac:dyDescent="0.3">
      <c r="A12" t="s">
        <v>54</v>
      </c>
      <c r="B12" t="s">
        <v>25</v>
      </c>
      <c r="C12" t="s">
        <v>26</v>
      </c>
      <c r="D12">
        <v>-2261318.7799999998</v>
      </c>
      <c r="E12">
        <v>-2531871.86</v>
      </c>
      <c r="F12">
        <v>-2261318.7799999998</v>
      </c>
      <c r="G12" t="s">
        <v>27</v>
      </c>
      <c r="H12">
        <v>1214204</v>
      </c>
      <c r="I12" t="s">
        <v>55</v>
      </c>
      <c r="J12" t="s">
        <v>29</v>
      </c>
      <c r="K12" t="s">
        <v>30</v>
      </c>
      <c r="M12" s="1">
        <v>45658</v>
      </c>
      <c r="O12" s="2">
        <v>3.0515046296296297E-2</v>
      </c>
      <c r="P12" t="s">
        <v>31</v>
      </c>
      <c r="Q12" s="2">
        <v>3.0515046296296297E-2</v>
      </c>
      <c r="V12" s="2">
        <v>3.0679398148148147E-2</v>
      </c>
      <c r="W12" t="s">
        <v>32</v>
      </c>
      <c r="X12" t="s">
        <v>30</v>
      </c>
    </row>
    <row r="13" spans="1:24" x14ac:dyDescent="0.3">
      <c r="A13" t="s">
        <v>56</v>
      </c>
      <c r="B13" t="s">
        <v>25</v>
      </c>
      <c r="C13" t="s">
        <v>26</v>
      </c>
      <c r="D13">
        <v>35933.51</v>
      </c>
      <c r="E13">
        <v>61374.48</v>
      </c>
      <c r="F13">
        <v>35933.51</v>
      </c>
      <c r="G13" t="s">
        <v>27</v>
      </c>
      <c r="H13">
        <v>1242102</v>
      </c>
      <c r="I13" t="s">
        <v>57</v>
      </c>
      <c r="J13" t="s">
        <v>29</v>
      </c>
      <c r="K13" t="s">
        <v>30</v>
      </c>
      <c r="M13" s="1">
        <v>45658</v>
      </c>
      <c r="O13" s="2">
        <v>3.0515046296296297E-2</v>
      </c>
      <c r="P13" t="s">
        <v>31</v>
      </c>
      <c r="Q13" s="2">
        <v>3.0515046296296297E-2</v>
      </c>
      <c r="V13" s="2">
        <v>3.0679398148148147E-2</v>
      </c>
      <c r="W13" t="s">
        <v>32</v>
      </c>
      <c r="X13" t="s">
        <v>30</v>
      </c>
    </row>
    <row r="14" spans="1:24" x14ac:dyDescent="0.3">
      <c r="A14" t="s">
        <v>58</v>
      </c>
      <c r="B14" t="s">
        <v>25</v>
      </c>
      <c r="C14" t="s">
        <v>26</v>
      </c>
      <c r="D14">
        <v>12502.69</v>
      </c>
      <c r="E14">
        <v>9820.89</v>
      </c>
      <c r="F14">
        <v>12502.69</v>
      </c>
      <c r="G14" t="s">
        <v>27</v>
      </c>
      <c r="H14">
        <v>1243816</v>
      </c>
      <c r="I14" t="s">
        <v>59</v>
      </c>
      <c r="J14" t="s">
        <v>29</v>
      </c>
      <c r="K14" t="s">
        <v>30</v>
      </c>
      <c r="M14" s="1">
        <v>45658</v>
      </c>
      <c r="O14" s="2">
        <v>3.0515046296296297E-2</v>
      </c>
      <c r="P14" t="s">
        <v>31</v>
      </c>
      <c r="Q14" s="2">
        <v>3.0515046296296297E-2</v>
      </c>
      <c r="V14" s="2">
        <v>3.0679398148148147E-2</v>
      </c>
      <c r="W14" t="s">
        <v>32</v>
      </c>
      <c r="X14" t="s">
        <v>30</v>
      </c>
    </row>
    <row r="15" spans="1:24" x14ac:dyDescent="0.3">
      <c r="A15" t="s">
        <v>60</v>
      </c>
      <c r="B15" t="s">
        <v>25</v>
      </c>
      <c r="C15" t="s">
        <v>26</v>
      </c>
      <c r="D15">
        <v>0.02</v>
      </c>
      <c r="E15">
        <v>-463.21</v>
      </c>
      <c r="F15">
        <v>0.02</v>
      </c>
      <c r="G15" t="s">
        <v>27</v>
      </c>
      <c r="H15">
        <v>1243816</v>
      </c>
      <c r="I15" t="s">
        <v>59</v>
      </c>
      <c r="J15" t="s">
        <v>29</v>
      </c>
      <c r="K15" t="s">
        <v>30</v>
      </c>
      <c r="M15" s="1">
        <v>45658</v>
      </c>
      <c r="O15" s="2">
        <v>3.0515046296296297E-2</v>
      </c>
      <c r="P15" t="s">
        <v>31</v>
      </c>
      <c r="Q15" s="2">
        <v>3.0515046296296297E-2</v>
      </c>
      <c r="R15" t="s">
        <v>61</v>
      </c>
      <c r="S15" t="s">
        <v>62</v>
      </c>
      <c r="V15" s="2">
        <v>3.0679398148148147E-2</v>
      </c>
      <c r="W15" t="s">
        <v>32</v>
      </c>
      <c r="X15" t="s">
        <v>30</v>
      </c>
    </row>
    <row r="16" spans="1:24" x14ac:dyDescent="0.3">
      <c r="A16" t="s">
        <v>63</v>
      </c>
      <c r="B16" t="s">
        <v>25</v>
      </c>
      <c r="C16" t="s">
        <v>26</v>
      </c>
      <c r="D16">
        <v>-0.01</v>
      </c>
      <c r="E16">
        <v>-1106.6500000000001</v>
      </c>
      <c r="F16">
        <v>-0.01</v>
      </c>
      <c r="G16" t="s">
        <v>27</v>
      </c>
      <c r="H16">
        <v>1243816</v>
      </c>
      <c r="I16" t="s">
        <v>59</v>
      </c>
      <c r="J16" t="s">
        <v>29</v>
      </c>
      <c r="K16" t="s">
        <v>30</v>
      </c>
      <c r="M16" s="1">
        <v>45658</v>
      </c>
      <c r="O16" s="2">
        <v>3.0515046296296297E-2</v>
      </c>
      <c r="P16" t="s">
        <v>31</v>
      </c>
      <c r="Q16" s="2">
        <v>3.0515046296296297E-2</v>
      </c>
      <c r="R16" t="s">
        <v>64</v>
      </c>
      <c r="S16" t="s">
        <v>65</v>
      </c>
      <c r="V16" s="2">
        <v>3.0679398148148147E-2</v>
      </c>
      <c r="W16" t="s">
        <v>32</v>
      </c>
      <c r="X16" t="s">
        <v>30</v>
      </c>
    </row>
    <row r="17" spans="1:24" x14ac:dyDescent="0.3">
      <c r="A17" t="s">
        <v>66</v>
      </c>
      <c r="B17" t="s">
        <v>25</v>
      </c>
      <c r="C17" t="s">
        <v>26</v>
      </c>
      <c r="D17">
        <v>0.01</v>
      </c>
      <c r="E17">
        <v>30.3</v>
      </c>
      <c r="F17">
        <v>0.01</v>
      </c>
      <c r="G17" t="s">
        <v>27</v>
      </c>
      <c r="H17">
        <v>1243816</v>
      </c>
      <c r="I17" t="s">
        <v>59</v>
      </c>
      <c r="J17" t="s">
        <v>29</v>
      </c>
      <c r="K17" t="s">
        <v>30</v>
      </c>
      <c r="M17" s="1">
        <v>45658</v>
      </c>
      <c r="O17" s="2">
        <v>3.0515046296296297E-2</v>
      </c>
      <c r="P17" t="s">
        <v>31</v>
      </c>
      <c r="Q17" s="2">
        <v>3.0515046296296297E-2</v>
      </c>
      <c r="R17" t="s">
        <v>67</v>
      </c>
      <c r="S17" t="s">
        <v>68</v>
      </c>
      <c r="V17" s="2">
        <v>3.0679398148148147E-2</v>
      </c>
      <c r="W17" t="s">
        <v>32</v>
      </c>
      <c r="X17" t="s">
        <v>30</v>
      </c>
    </row>
    <row r="18" spans="1:24" x14ac:dyDescent="0.3">
      <c r="A18" t="s">
        <v>69</v>
      </c>
      <c r="B18" t="s">
        <v>25</v>
      </c>
      <c r="C18" t="s">
        <v>26</v>
      </c>
      <c r="D18">
        <v>0.01</v>
      </c>
      <c r="E18">
        <v>26.6</v>
      </c>
      <c r="F18">
        <v>0.01</v>
      </c>
      <c r="G18" t="s">
        <v>27</v>
      </c>
      <c r="H18">
        <v>1243816</v>
      </c>
      <c r="I18" t="s">
        <v>59</v>
      </c>
      <c r="J18" t="s">
        <v>29</v>
      </c>
      <c r="K18" t="s">
        <v>30</v>
      </c>
      <c r="M18" s="1">
        <v>45658</v>
      </c>
      <c r="O18" s="2">
        <v>3.0515046296296297E-2</v>
      </c>
      <c r="P18" t="s">
        <v>31</v>
      </c>
      <c r="Q18" s="2">
        <v>3.0515046296296297E-2</v>
      </c>
      <c r="R18" t="s">
        <v>70</v>
      </c>
      <c r="S18" t="s">
        <v>71</v>
      </c>
      <c r="V18" s="2">
        <v>3.0679398148148147E-2</v>
      </c>
      <c r="W18" t="s">
        <v>32</v>
      </c>
      <c r="X18" t="s">
        <v>30</v>
      </c>
    </row>
    <row r="19" spans="1:24" x14ac:dyDescent="0.3">
      <c r="A19" t="s">
        <v>72</v>
      </c>
      <c r="B19" t="s">
        <v>25</v>
      </c>
      <c r="C19" t="s">
        <v>26</v>
      </c>
      <c r="D19">
        <v>-0.01</v>
      </c>
      <c r="E19">
        <v>-203</v>
      </c>
      <c r="F19">
        <v>-0.01</v>
      </c>
      <c r="G19" t="s">
        <v>27</v>
      </c>
      <c r="H19">
        <v>1243816</v>
      </c>
      <c r="I19" t="s">
        <v>59</v>
      </c>
      <c r="J19" t="s">
        <v>29</v>
      </c>
      <c r="K19" t="s">
        <v>30</v>
      </c>
      <c r="M19" s="1">
        <v>45658</v>
      </c>
      <c r="O19" s="2">
        <v>3.0515046296296297E-2</v>
      </c>
      <c r="P19" t="s">
        <v>31</v>
      </c>
      <c r="Q19" s="2">
        <v>3.0515046296296297E-2</v>
      </c>
      <c r="R19" t="s">
        <v>73</v>
      </c>
      <c r="S19" t="s">
        <v>74</v>
      </c>
      <c r="V19" s="2">
        <v>3.0679398148148147E-2</v>
      </c>
      <c r="W19" t="s">
        <v>32</v>
      </c>
      <c r="X19" t="s">
        <v>30</v>
      </c>
    </row>
    <row r="20" spans="1:24" x14ac:dyDescent="0.3">
      <c r="A20" t="s">
        <v>75</v>
      </c>
      <c r="B20" t="s">
        <v>25</v>
      </c>
      <c r="C20" t="s">
        <v>26</v>
      </c>
      <c r="D20">
        <v>-176.53</v>
      </c>
      <c r="E20">
        <v>168.23</v>
      </c>
      <c r="F20">
        <v>-176.53</v>
      </c>
      <c r="G20" t="s">
        <v>27</v>
      </c>
      <c r="H20">
        <v>1243816</v>
      </c>
      <c r="I20" t="s">
        <v>59</v>
      </c>
      <c r="J20" t="s">
        <v>29</v>
      </c>
      <c r="K20" t="s">
        <v>30</v>
      </c>
      <c r="M20" s="1">
        <v>45658</v>
      </c>
      <c r="O20" s="2">
        <v>3.0515046296296297E-2</v>
      </c>
      <c r="P20" t="s">
        <v>31</v>
      </c>
      <c r="Q20" s="2">
        <v>3.0515046296296297E-2</v>
      </c>
      <c r="R20" t="s">
        <v>76</v>
      </c>
      <c r="S20" t="s">
        <v>77</v>
      </c>
      <c r="V20" s="2">
        <v>3.0679398148148147E-2</v>
      </c>
      <c r="W20" t="s">
        <v>32</v>
      </c>
      <c r="X20" t="s">
        <v>30</v>
      </c>
    </row>
    <row r="21" spans="1:24" x14ac:dyDescent="0.3">
      <c r="A21" t="s">
        <v>78</v>
      </c>
      <c r="B21" t="s">
        <v>25</v>
      </c>
      <c r="C21" t="s">
        <v>26</v>
      </c>
      <c r="D21">
        <v>0.01</v>
      </c>
      <c r="E21">
        <v>0.01</v>
      </c>
      <c r="F21">
        <v>0.01</v>
      </c>
      <c r="G21" t="s">
        <v>27</v>
      </c>
      <c r="H21">
        <v>1243816</v>
      </c>
      <c r="I21" t="s">
        <v>59</v>
      </c>
      <c r="J21" t="s">
        <v>29</v>
      </c>
      <c r="K21" t="s">
        <v>30</v>
      </c>
      <c r="M21" s="1">
        <v>45658</v>
      </c>
      <c r="O21" s="2">
        <v>3.0515046296296297E-2</v>
      </c>
      <c r="P21" t="s">
        <v>31</v>
      </c>
      <c r="Q21" s="2">
        <v>3.0515046296296297E-2</v>
      </c>
      <c r="R21" t="s">
        <v>79</v>
      </c>
      <c r="S21" t="s">
        <v>80</v>
      </c>
      <c r="V21" s="2">
        <v>3.0679398148148147E-2</v>
      </c>
      <c r="W21" t="s">
        <v>32</v>
      </c>
      <c r="X21" t="s">
        <v>30</v>
      </c>
    </row>
    <row r="22" spans="1:24" x14ac:dyDescent="0.3">
      <c r="A22" t="s">
        <v>81</v>
      </c>
      <c r="B22" t="s">
        <v>25</v>
      </c>
      <c r="C22" t="s">
        <v>26</v>
      </c>
      <c r="D22">
        <v>-601.79999999999995</v>
      </c>
      <c r="E22">
        <v>-444.99</v>
      </c>
      <c r="F22">
        <v>-601.79999999999995</v>
      </c>
      <c r="G22" t="s">
        <v>27</v>
      </c>
      <c r="H22">
        <v>1243816</v>
      </c>
      <c r="I22" t="s">
        <v>59</v>
      </c>
      <c r="J22" t="s">
        <v>29</v>
      </c>
      <c r="K22" t="s">
        <v>30</v>
      </c>
      <c r="M22" s="1">
        <v>45658</v>
      </c>
      <c r="O22" s="2">
        <v>3.0515046296296297E-2</v>
      </c>
      <c r="P22" t="s">
        <v>31</v>
      </c>
      <c r="Q22" s="2">
        <v>3.0515046296296297E-2</v>
      </c>
      <c r="R22" t="s">
        <v>82</v>
      </c>
      <c r="S22" t="s">
        <v>83</v>
      </c>
      <c r="V22" s="2">
        <v>3.0679398148148147E-2</v>
      </c>
      <c r="W22" t="s">
        <v>32</v>
      </c>
      <c r="X22" t="s">
        <v>30</v>
      </c>
    </row>
    <row r="23" spans="1:24" x14ac:dyDescent="0.3">
      <c r="A23" t="s">
        <v>84</v>
      </c>
      <c r="B23" t="s">
        <v>25</v>
      </c>
      <c r="C23" t="s">
        <v>26</v>
      </c>
      <c r="D23">
        <v>0.01</v>
      </c>
      <c r="E23">
        <v>28.13</v>
      </c>
      <c r="F23">
        <v>0.01</v>
      </c>
      <c r="G23" t="s">
        <v>27</v>
      </c>
      <c r="H23">
        <v>1243816</v>
      </c>
      <c r="I23" t="s">
        <v>59</v>
      </c>
      <c r="J23" t="s">
        <v>29</v>
      </c>
      <c r="K23" t="s">
        <v>30</v>
      </c>
      <c r="M23" s="1">
        <v>45658</v>
      </c>
      <c r="O23" s="2">
        <v>3.0515046296296297E-2</v>
      </c>
      <c r="P23" t="s">
        <v>31</v>
      </c>
      <c r="Q23" s="2">
        <v>3.0515046296296297E-2</v>
      </c>
      <c r="R23" t="s">
        <v>85</v>
      </c>
      <c r="S23" t="s">
        <v>86</v>
      </c>
      <c r="V23" s="2">
        <v>3.0679398148148147E-2</v>
      </c>
      <c r="W23" t="s">
        <v>32</v>
      </c>
      <c r="X23" t="s">
        <v>30</v>
      </c>
    </row>
    <row r="24" spans="1:24" x14ac:dyDescent="0.3">
      <c r="A24" t="s">
        <v>87</v>
      </c>
      <c r="B24" t="s">
        <v>25</v>
      </c>
      <c r="C24" t="s">
        <v>26</v>
      </c>
      <c r="D24">
        <v>60603.12</v>
      </c>
      <c r="E24">
        <v>45132.95</v>
      </c>
      <c r="F24">
        <v>60603.12</v>
      </c>
      <c r="G24" t="s">
        <v>27</v>
      </c>
      <c r="H24">
        <v>1243816</v>
      </c>
      <c r="I24" t="s">
        <v>59</v>
      </c>
      <c r="J24" t="s">
        <v>29</v>
      </c>
      <c r="K24" t="s">
        <v>30</v>
      </c>
      <c r="M24" s="1">
        <v>45658</v>
      </c>
      <c r="O24" s="2">
        <v>3.0515046296296297E-2</v>
      </c>
      <c r="P24" t="s">
        <v>31</v>
      </c>
      <c r="Q24" s="2">
        <v>3.0515046296296297E-2</v>
      </c>
      <c r="R24" t="s">
        <v>88</v>
      </c>
      <c r="S24" t="s">
        <v>89</v>
      </c>
      <c r="V24" s="2">
        <v>3.0679398148148147E-2</v>
      </c>
      <c r="W24" t="s">
        <v>32</v>
      </c>
      <c r="X24" t="s">
        <v>30</v>
      </c>
    </row>
    <row r="25" spans="1:24" x14ac:dyDescent="0.3">
      <c r="A25" t="s">
        <v>90</v>
      </c>
      <c r="B25" t="s">
        <v>25</v>
      </c>
      <c r="C25" t="s">
        <v>26</v>
      </c>
      <c r="D25">
        <v>20.12</v>
      </c>
      <c r="E25">
        <v>14.84</v>
      </c>
      <c r="F25">
        <v>20.12</v>
      </c>
      <c r="G25" t="s">
        <v>27</v>
      </c>
      <c r="H25">
        <v>1243816</v>
      </c>
      <c r="I25" t="s">
        <v>59</v>
      </c>
      <c r="J25" t="s">
        <v>29</v>
      </c>
      <c r="K25" t="s">
        <v>30</v>
      </c>
      <c r="M25" s="1">
        <v>45658</v>
      </c>
      <c r="O25" s="2">
        <v>3.0515046296296297E-2</v>
      </c>
      <c r="P25" t="s">
        <v>31</v>
      </c>
      <c r="Q25" s="2">
        <v>3.0515046296296297E-2</v>
      </c>
      <c r="R25" t="s">
        <v>91</v>
      </c>
      <c r="S25" t="s">
        <v>92</v>
      </c>
      <c r="V25" s="2">
        <v>3.0679398148148147E-2</v>
      </c>
      <c r="W25" t="s">
        <v>32</v>
      </c>
      <c r="X25" t="s">
        <v>30</v>
      </c>
    </row>
    <row r="26" spans="1:24" x14ac:dyDescent="0.3">
      <c r="A26" t="s">
        <v>93</v>
      </c>
      <c r="B26" t="s">
        <v>25</v>
      </c>
      <c r="C26" t="s">
        <v>26</v>
      </c>
      <c r="D26">
        <v>-0.01</v>
      </c>
      <c r="E26">
        <v>-0.01</v>
      </c>
      <c r="F26">
        <v>-0.01</v>
      </c>
      <c r="G26" t="s">
        <v>27</v>
      </c>
      <c r="H26">
        <v>1243816</v>
      </c>
      <c r="I26" t="s">
        <v>59</v>
      </c>
      <c r="J26" t="s">
        <v>29</v>
      </c>
      <c r="K26" t="s">
        <v>30</v>
      </c>
      <c r="M26" s="1">
        <v>45658</v>
      </c>
      <c r="O26" s="2">
        <v>3.0515046296296297E-2</v>
      </c>
      <c r="P26" t="s">
        <v>31</v>
      </c>
      <c r="Q26" s="2">
        <v>3.0515046296296297E-2</v>
      </c>
      <c r="R26" t="s">
        <v>94</v>
      </c>
      <c r="S26" t="s">
        <v>95</v>
      </c>
      <c r="V26" s="2">
        <v>3.0679398148148147E-2</v>
      </c>
      <c r="W26" t="s">
        <v>32</v>
      </c>
      <c r="X26" t="s">
        <v>30</v>
      </c>
    </row>
    <row r="27" spans="1:24" x14ac:dyDescent="0.3">
      <c r="A27" t="s">
        <v>96</v>
      </c>
      <c r="B27" t="s">
        <v>25</v>
      </c>
      <c r="C27" t="s">
        <v>26</v>
      </c>
      <c r="D27">
        <v>-7018.48</v>
      </c>
      <c r="E27">
        <v>-5205.8599999999997</v>
      </c>
      <c r="F27">
        <v>-7018.48</v>
      </c>
      <c r="G27" t="s">
        <v>27</v>
      </c>
      <c r="H27">
        <v>1243816</v>
      </c>
      <c r="I27" t="s">
        <v>59</v>
      </c>
      <c r="J27" t="s">
        <v>29</v>
      </c>
      <c r="K27" t="s">
        <v>30</v>
      </c>
      <c r="M27" s="1">
        <v>45658</v>
      </c>
      <c r="O27" s="2">
        <v>3.0515046296296297E-2</v>
      </c>
      <c r="P27" t="s">
        <v>31</v>
      </c>
      <c r="Q27" s="2">
        <v>3.0515046296296297E-2</v>
      </c>
      <c r="R27" t="s">
        <v>97</v>
      </c>
      <c r="S27" t="s">
        <v>98</v>
      </c>
      <c r="V27" s="2">
        <v>3.0679398148148147E-2</v>
      </c>
      <c r="W27" t="s">
        <v>32</v>
      </c>
      <c r="X27" t="s">
        <v>30</v>
      </c>
    </row>
    <row r="28" spans="1:24" x14ac:dyDescent="0.3">
      <c r="A28" t="s">
        <v>99</v>
      </c>
      <c r="B28" t="s">
        <v>25</v>
      </c>
      <c r="C28" t="s">
        <v>26</v>
      </c>
      <c r="D28">
        <v>1742.04</v>
      </c>
      <c r="E28">
        <v>521.87</v>
      </c>
      <c r="F28">
        <v>1742.04</v>
      </c>
      <c r="G28" t="s">
        <v>27</v>
      </c>
      <c r="H28">
        <v>1243816</v>
      </c>
      <c r="I28" t="s">
        <v>59</v>
      </c>
      <c r="J28" t="s">
        <v>29</v>
      </c>
      <c r="K28" t="s">
        <v>30</v>
      </c>
      <c r="M28" s="1">
        <v>45658</v>
      </c>
      <c r="O28" s="2">
        <v>3.0515046296296297E-2</v>
      </c>
      <c r="P28" t="s">
        <v>31</v>
      </c>
      <c r="Q28" s="2">
        <v>3.0515046296296297E-2</v>
      </c>
      <c r="R28" t="s">
        <v>100</v>
      </c>
      <c r="S28" t="s">
        <v>101</v>
      </c>
      <c r="V28" s="2">
        <v>3.0679398148148147E-2</v>
      </c>
      <c r="W28" t="s">
        <v>32</v>
      </c>
      <c r="X28" t="s">
        <v>30</v>
      </c>
    </row>
    <row r="29" spans="1:24" x14ac:dyDescent="0.3">
      <c r="A29" t="s">
        <v>102</v>
      </c>
      <c r="B29" t="s">
        <v>25</v>
      </c>
      <c r="C29" t="s">
        <v>26</v>
      </c>
      <c r="D29">
        <v>-2254.54</v>
      </c>
      <c r="E29">
        <v>-1892.16</v>
      </c>
      <c r="F29">
        <v>-2254.54</v>
      </c>
      <c r="G29" t="s">
        <v>27</v>
      </c>
      <c r="H29">
        <v>1243816</v>
      </c>
      <c r="I29" t="s">
        <v>59</v>
      </c>
      <c r="J29" t="s">
        <v>29</v>
      </c>
      <c r="K29" t="s">
        <v>30</v>
      </c>
      <c r="M29" s="1">
        <v>45658</v>
      </c>
      <c r="O29" s="2">
        <v>3.0515046296296297E-2</v>
      </c>
      <c r="P29" t="s">
        <v>31</v>
      </c>
      <c r="Q29" s="2">
        <v>3.0515046296296297E-2</v>
      </c>
      <c r="R29" t="s">
        <v>103</v>
      </c>
      <c r="S29" t="s">
        <v>104</v>
      </c>
      <c r="V29" s="2">
        <v>3.0679398148148147E-2</v>
      </c>
      <c r="W29" t="s">
        <v>32</v>
      </c>
      <c r="X29" t="s">
        <v>30</v>
      </c>
    </row>
    <row r="30" spans="1:24" x14ac:dyDescent="0.3">
      <c r="A30" t="s">
        <v>105</v>
      </c>
      <c r="B30" t="s">
        <v>25</v>
      </c>
      <c r="C30" t="s">
        <v>26</v>
      </c>
      <c r="D30">
        <v>-691.3</v>
      </c>
      <c r="E30">
        <v>-509.81</v>
      </c>
      <c r="F30">
        <v>-691.3</v>
      </c>
      <c r="G30" t="s">
        <v>27</v>
      </c>
      <c r="H30">
        <v>1243816</v>
      </c>
      <c r="I30" t="s">
        <v>59</v>
      </c>
      <c r="J30" t="s">
        <v>29</v>
      </c>
      <c r="K30" t="s">
        <v>30</v>
      </c>
      <c r="M30" s="1">
        <v>45658</v>
      </c>
      <c r="O30" s="2">
        <v>3.0515046296296297E-2</v>
      </c>
      <c r="P30" t="s">
        <v>31</v>
      </c>
      <c r="Q30" s="2">
        <v>3.0515046296296297E-2</v>
      </c>
      <c r="R30" t="s">
        <v>106</v>
      </c>
      <c r="S30" t="s">
        <v>107</v>
      </c>
      <c r="V30" s="2">
        <v>3.0679398148148147E-2</v>
      </c>
      <c r="W30" t="s">
        <v>32</v>
      </c>
      <c r="X30" t="s">
        <v>30</v>
      </c>
    </row>
    <row r="31" spans="1:24" x14ac:dyDescent="0.3">
      <c r="A31" t="s">
        <v>108</v>
      </c>
      <c r="B31" t="s">
        <v>25</v>
      </c>
      <c r="C31" t="s">
        <v>26</v>
      </c>
      <c r="D31">
        <v>-1412.32</v>
      </c>
      <c r="E31">
        <v>-1294.04</v>
      </c>
      <c r="F31">
        <v>-1412.32</v>
      </c>
      <c r="G31" t="s">
        <v>27</v>
      </c>
      <c r="H31">
        <v>1243816</v>
      </c>
      <c r="I31" t="s">
        <v>59</v>
      </c>
      <c r="J31" t="s">
        <v>29</v>
      </c>
      <c r="K31" t="s">
        <v>30</v>
      </c>
      <c r="M31" s="1">
        <v>45658</v>
      </c>
      <c r="O31" s="2">
        <v>3.0515046296296297E-2</v>
      </c>
      <c r="P31" t="s">
        <v>31</v>
      </c>
      <c r="Q31" s="2">
        <v>3.0515046296296297E-2</v>
      </c>
      <c r="R31" t="s">
        <v>109</v>
      </c>
      <c r="S31" t="s">
        <v>110</v>
      </c>
      <c r="V31" s="2">
        <v>3.0679398148148147E-2</v>
      </c>
      <c r="W31" t="s">
        <v>32</v>
      </c>
      <c r="X31" t="s">
        <v>30</v>
      </c>
    </row>
    <row r="32" spans="1:24" x14ac:dyDescent="0.3">
      <c r="A32" t="s">
        <v>111</v>
      </c>
      <c r="B32" t="s">
        <v>25</v>
      </c>
      <c r="C32" t="s">
        <v>26</v>
      </c>
      <c r="D32">
        <v>-106974.61</v>
      </c>
      <c r="E32">
        <v>-84972.64</v>
      </c>
      <c r="F32">
        <v>-106974.61</v>
      </c>
      <c r="G32" t="s">
        <v>27</v>
      </c>
      <c r="H32">
        <v>1110200</v>
      </c>
      <c r="I32" t="s">
        <v>112</v>
      </c>
      <c r="J32" t="s">
        <v>29</v>
      </c>
      <c r="K32" t="s">
        <v>30</v>
      </c>
      <c r="M32" s="1">
        <v>45658</v>
      </c>
      <c r="O32" s="2">
        <v>3.0515046296296297E-2</v>
      </c>
      <c r="P32" t="s">
        <v>31</v>
      </c>
      <c r="Q32" s="2">
        <v>3.0515046296296297E-2</v>
      </c>
      <c r="V32" s="2">
        <v>3.0679398148148147E-2</v>
      </c>
      <c r="W32" t="s">
        <v>32</v>
      </c>
      <c r="X32" t="s">
        <v>30</v>
      </c>
    </row>
    <row r="33" spans="1:24" x14ac:dyDescent="0.3">
      <c r="A33" t="s">
        <v>113</v>
      </c>
      <c r="B33" t="s">
        <v>25</v>
      </c>
      <c r="C33" t="s">
        <v>26</v>
      </c>
      <c r="D33">
        <v>1.17</v>
      </c>
      <c r="E33">
        <v>9836.49</v>
      </c>
      <c r="F33">
        <v>1.17</v>
      </c>
      <c r="G33" t="s">
        <v>27</v>
      </c>
      <c r="H33">
        <v>1211015</v>
      </c>
      <c r="I33" t="s">
        <v>114</v>
      </c>
      <c r="J33" t="s">
        <v>29</v>
      </c>
      <c r="K33" t="s">
        <v>30</v>
      </c>
      <c r="M33" s="1">
        <v>45658</v>
      </c>
      <c r="O33" s="2">
        <v>3.0515046296296297E-2</v>
      </c>
      <c r="P33" t="s">
        <v>31</v>
      </c>
      <c r="Q33" s="2">
        <v>3.0515046296296297E-2</v>
      </c>
      <c r="V33" s="2">
        <v>3.0679398148148147E-2</v>
      </c>
      <c r="W33" t="s">
        <v>32</v>
      </c>
      <c r="X33" t="s">
        <v>30</v>
      </c>
    </row>
    <row r="34" spans="1:24" x14ac:dyDescent="0.3">
      <c r="A34" t="s">
        <v>115</v>
      </c>
      <c r="B34" t="s">
        <v>25</v>
      </c>
      <c r="C34" t="s">
        <v>26</v>
      </c>
      <c r="D34">
        <v>0.49</v>
      </c>
      <c r="E34">
        <v>24302.57</v>
      </c>
      <c r="F34">
        <v>0.49</v>
      </c>
      <c r="G34" t="s">
        <v>38</v>
      </c>
      <c r="H34">
        <v>1211019</v>
      </c>
      <c r="I34" t="s">
        <v>114</v>
      </c>
      <c r="J34" t="s">
        <v>29</v>
      </c>
      <c r="K34" t="s">
        <v>30</v>
      </c>
      <c r="M34" s="1">
        <v>45658</v>
      </c>
      <c r="O34" s="2">
        <v>3.0515046296296297E-2</v>
      </c>
      <c r="P34" t="s">
        <v>31</v>
      </c>
      <c r="Q34" s="2">
        <v>3.0515046296296297E-2</v>
      </c>
      <c r="V34" s="2">
        <v>3.0679398148148147E-2</v>
      </c>
      <c r="W34" t="s">
        <v>32</v>
      </c>
      <c r="X34" t="s">
        <v>30</v>
      </c>
    </row>
    <row r="35" spans="1:24" x14ac:dyDescent="0.3">
      <c r="A35" t="s">
        <v>116</v>
      </c>
      <c r="B35" t="s">
        <v>25</v>
      </c>
      <c r="C35" t="s">
        <v>26</v>
      </c>
      <c r="D35">
        <v>11748859</v>
      </c>
      <c r="E35">
        <v>8650316.3399999999</v>
      </c>
      <c r="F35">
        <v>11748859</v>
      </c>
      <c r="G35" t="s">
        <v>38</v>
      </c>
      <c r="H35">
        <v>1213202</v>
      </c>
      <c r="I35" t="s">
        <v>117</v>
      </c>
      <c r="J35" t="s">
        <v>29</v>
      </c>
      <c r="K35" t="s">
        <v>30</v>
      </c>
      <c r="M35" s="1">
        <v>45658</v>
      </c>
      <c r="O35" s="2">
        <v>3.0515046296296297E-2</v>
      </c>
      <c r="P35" t="s">
        <v>31</v>
      </c>
      <c r="Q35" s="2">
        <v>3.0515046296296297E-2</v>
      </c>
      <c r="V35" s="2">
        <v>3.0679398148148147E-2</v>
      </c>
      <c r="W35" t="s">
        <v>32</v>
      </c>
      <c r="X35" t="s">
        <v>30</v>
      </c>
    </row>
    <row r="36" spans="1:24" x14ac:dyDescent="0.3">
      <c r="A36" t="s">
        <v>118</v>
      </c>
      <c r="B36" t="s">
        <v>25</v>
      </c>
      <c r="C36" t="s">
        <v>26</v>
      </c>
      <c r="D36">
        <v>-1325492.99</v>
      </c>
      <c r="E36">
        <v>-963321.23</v>
      </c>
      <c r="F36">
        <v>-1325492.99</v>
      </c>
      <c r="G36" t="s">
        <v>27</v>
      </c>
      <c r="H36">
        <v>1225102</v>
      </c>
      <c r="I36" t="s">
        <v>119</v>
      </c>
      <c r="J36" t="s">
        <v>29</v>
      </c>
      <c r="K36" t="s">
        <v>30</v>
      </c>
      <c r="M36" s="1">
        <v>45658</v>
      </c>
      <c r="O36" s="2">
        <v>3.0515046296296297E-2</v>
      </c>
      <c r="P36" t="s">
        <v>31</v>
      </c>
      <c r="Q36" s="2">
        <v>3.0515046296296297E-2</v>
      </c>
      <c r="V36" s="2">
        <v>3.0679398148148147E-2</v>
      </c>
      <c r="W36" t="s">
        <v>32</v>
      </c>
      <c r="X36" t="s">
        <v>30</v>
      </c>
    </row>
    <row r="37" spans="1:24" x14ac:dyDescent="0.3">
      <c r="A37" t="s">
        <v>120</v>
      </c>
      <c r="B37" t="s">
        <v>25</v>
      </c>
      <c r="C37" t="s">
        <v>26</v>
      </c>
      <c r="D37">
        <v>-54143.28</v>
      </c>
      <c r="E37">
        <v>-40224.97</v>
      </c>
      <c r="F37">
        <v>-54143.28</v>
      </c>
      <c r="G37" t="s">
        <v>27</v>
      </c>
      <c r="H37">
        <v>1225102</v>
      </c>
      <c r="I37" t="s">
        <v>119</v>
      </c>
      <c r="J37" t="s">
        <v>29</v>
      </c>
      <c r="K37" t="s">
        <v>30</v>
      </c>
      <c r="M37" s="1">
        <v>45658</v>
      </c>
      <c r="O37" s="2">
        <v>3.0515046296296297E-2</v>
      </c>
      <c r="P37" t="s">
        <v>31</v>
      </c>
      <c r="Q37" s="2">
        <v>3.0515046296296297E-2</v>
      </c>
      <c r="V37" s="2">
        <v>3.0679398148148147E-2</v>
      </c>
      <c r="W37" t="s">
        <v>32</v>
      </c>
      <c r="X37" t="s">
        <v>30</v>
      </c>
    </row>
    <row r="38" spans="1:24" x14ac:dyDescent="0.3">
      <c r="A38" t="s">
        <v>121</v>
      </c>
      <c r="B38" t="s">
        <v>25</v>
      </c>
      <c r="C38" t="s">
        <v>26</v>
      </c>
      <c r="D38">
        <v>-1633918.76</v>
      </c>
      <c r="E38">
        <v>-1202555.9099999999</v>
      </c>
      <c r="F38">
        <v>-1633918.76</v>
      </c>
      <c r="G38" t="s">
        <v>27</v>
      </c>
      <c r="H38">
        <v>1225102</v>
      </c>
      <c r="I38" t="s">
        <v>119</v>
      </c>
      <c r="J38" t="s">
        <v>29</v>
      </c>
      <c r="K38" t="s">
        <v>30</v>
      </c>
      <c r="M38" s="1">
        <v>45658</v>
      </c>
      <c r="O38" s="2">
        <v>3.0515046296296297E-2</v>
      </c>
      <c r="P38" t="s">
        <v>31</v>
      </c>
      <c r="Q38" s="2">
        <v>3.0515046296296297E-2</v>
      </c>
      <c r="V38" s="2">
        <v>3.0679398148148147E-2</v>
      </c>
      <c r="W38" t="s">
        <v>32</v>
      </c>
      <c r="X38" t="s">
        <v>30</v>
      </c>
    </row>
    <row r="39" spans="1:24" x14ac:dyDescent="0.3">
      <c r="A39" t="s">
        <v>122</v>
      </c>
      <c r="B39" t="s">
        <v>25</v>
      </c>
      <c r="C39" t="s">
        <v>26</v>
      </c>
      <c r="D39">
        <v>-41242.199999999997</v>
      </c>
      <c r="E39">
        <v>-30713.58</v>
      </c>
      <c r="F39">
        <v>-41242.199999999997</v>
      </c>
      <c r="G39" t="s">
        <v>38</v>
      </c>
      <c r="H39">
        <v>1240001</v>
      </c>
      <c r="I39" t="s">
        <v>123</v>
      </c>
      <c r="J39" t="s">
        <v>29</v>
      </c>
      <c r="K39" t="s">
        <v>30</v>
      </c>
      <c r="M39" s="1">
        <v>45658</v>
      </c>
      <c r="O39" s="2">
        <v>3.0515046296296297E-2</v>
      </c>
      <c r="P39" t="s">
        <v>31</v>
      </c>
      <c r="Q39" s="2">
        <v>3.0515046296296297E-2</v>
      </c>
      <c r="T39" t="s">
        <v>124</v>
      </c>
      <c r="V39" s="2">
        <v>3.0679398148148147E-2</v>
      </c>
      <c r="W39" t="s">
        <v>32</v>
      </c>
      <c r="X39" t="s">
        <v>30</v>
      </c>
    </row>
    <row r="40" spans="1:24" x14ac:dyDescent="0.3">
      <c r="A40" t="s">
        <v>125</v>
      </c>
      <c r="B40" t="s">
        <v>25</v>
      </c>
      <c r="C40" t="s">
        <v>26</v>
      </c>
      <c r="D40">
        <v>-299605.15999999997</v>
      </c>
      <c r="E40">
        <v>-223343.88</v>
      </c>
      <c r="F40">
        <v>-299605.15999999997</v>
      </c>
      <c r="G40" t="s">
        <v>27</v>
      </c>
      <c r="H40">
        <v>3121400</v>
      </c>
      <c r="I40" t="s">
        <v>39</v>
      </c>
      <c r="J40" t="s">
        <v>29</v>
      </c>
      <c r="K40" t="s">
        <v>30</v>
      </c>
      <c r="M40" s="1">
        <v>45658</v>
      </c>
      <c r="O40" s="2">
        <v>3.0515046296296297E-2</v>
      </c>
      <c r="P40" t="s">
        <v>31</v>
      </c>
      <c r="Q40" s="2">
        <v>3.0515046296296297E-2</v>
      </c>
      <c r="V40" s="2">
        <v>3.0679398148148147E-2</v>
      </c>
      <c r="W40" t="s">
        <v>32</v>
      </c>
      <c r="X40" t="s">
        <v>30</v>
      </c>
    </row>
    <row r="41" spans="1:24" x14ac:dyDescent="0.3">
      <c r="A41" t="s">
        <v>126</v>
      </c>
      <c r="B41" t="s">
        <v>25</v>
      </c>
      <c r="C41" t="s">
        <v>26</v>
      </c>
      <c r="D41">
        <v>9631.84</v>
      </c>
      <c r="E41">
        <v>24244.54</v>
      </c>
      <c r="F41">
        <v>9631.84</v>
      </c>
      <c r="G41" t="s">
        <v>27</v>
      </c>
      <c r="H41">
        <v>3123999</v>
      </c>
      <c r="I41" t="s">
        <v>127</v>
      </c>
      <c r="J41" t="s">
        <v>29</v>
      </c>
      <c r="K41" t="s">
        <v>30</v>
      </c>
      <c r="M41" s="1">
        <v>45658</v>
      </c>
      <c r="O41" s="2">
        <v>3.0515046296296297E-2</v>
      </c>
      <c r="P41" t="s">
        <v>31</v>
      </c>
      <c r="Q41" s="2">
        <v>3.0515046296296297E-2</v>
      </c>
      <c r="V41" s="2">
        <v>3.0679398148148147E-2</v>
      </c>
      <c r="W41" t="s">
        <v>32</v>
      </c>
      <c r="X41" t="s">
        <v>30</v>
      </c>
    </row>
    <row r="42" spans="1:24" x14ac:dyDescent="0.3">
      <c r="A42" t="s">
        <v>128</v>
      </c>
      <c r="B42" t="s">
        <v>25</v>
      </c>
      <c r="C42" t="s">
        <v>26</v>
      </c>
      <c r="D42">
        <v>-5.43</v>
      </c>
      <c r="E42">
        <v>-4</v>
      </c>
      <c r="F42">
        <v>-5.43</v>
      </c>
      <c r="G42" t="s">
        <v>38</v>
      </c>
      <c r="H42">
        <v>3203070</v>
      </c>
      <c r="I42" t="s">
        <v>129</v>
      </c>
      <c r="J42" t="s">
        <v>29</v>
      </c>
      <c r="K42" t="s">
        <v>30</v>
      </c>
      <c r="M42" s="1">
        <v>45658</v>
      </c>
      <c r="O42" s="2">
        <v>3.0515046296296297E-2</v>
      </c>
      <c r="P42" t="s">
        <v>31</v>
      </c>
      <c r="Q42" s="2">
        <v>3.0515046296296297E-2</v>
      </c>
      <c r="R42" t="s">
        <v>91</v>
      </c>
      <c r="S42" t="s">
        <v>92</v>
      </c>
      <c r="V42" s="2">
        <v>3.0679398148148147E-2</v>
      </c>
      <c r="W42" t="s">
        <v>32</v>
      </c>
      <c r="X42" t="s">
        <v>30</v>
      </c>
    </row>
    <row r="43" spans="1:24" x14ac:dyDescent="0.3">
      <c r="A43" t="s">
        <v>130</v>
      </c>
      <c r="B43" t="s">
        <v>25</v>
      </c>
      <c r="C43" t="s">
        <v>26</v>
      </c>
      <c r="D43">
        <v>6.03</v>
      </c>
      <c r="E43">
        <v>4.4400000000000004</v>
      </c>
      <c r="F43">
        <v>6.03</v>
      </c>
      <c r="G43" t="s">
        <v>38</v>
      </c>
      <c r="H43">
        <v>3203070</v>
      </c>
      <c r="I43" t="s">
        <v>129</v>
      </c>
      <c r="J43" t="s">
        <v>29</v>
      </c>
      <c r="K43" t="s">
        <v>30</v>
      </c>
      <c r="M43" s="1">
        <v>45658</v>
      </c>
      <c r="O43" s="2">
        <v>3.0515046296296297E-2</v>
      </c>
      <c r="P43" t="s">
        <v>31</v>
      </c>
      <c r="Q43" s="2">
        <v>3.0515046296296297E-2</v>
      </c>
      <c r="R43" t="s">
        <v>100</v>
      </c>
      <c r="S43" t="s">
        <v>101</v>
      </c>
      <c r="V43" s="2">
        <v>3.0679398148148147E-2</v>
      </c>
      <c r="W43" t="s">
        <v>32</v>
      </c>
      <c r="X43" t="s">
        <v>30</v>
      </c>
    </row>
    <row r="44" spans="1:24" x14ac:dyDescent="0.3">
      <c r="A44" t="s">
        <v>131</v>
      </c>
      <c r="B44" t="s">
        <v>25</v>
      </c>
      <c r="C44" t="s">
        <v>26</v>
      </c>
      <c r="D44">
        <v>68142224</v>
      </c>
      <c r="E44">
        <v>50170979.799999997</v>
      </c>
      <c r="F44">
        <v>68142224</v>
      </c>
      <c r="G44" t="s">
        <v>38</v>
      </c>
      <c r="H44">
        <v>3203070</v>
      </c>
      <c r="I44" t="s">
        <v>129</v>
      </c>
      <c r="J44" t="s">
        <v>29</v>
      </c>
      <c r="K44" t="s">
        <v>30</v>
      </c>
      <c r="M44" s="1">
        <v>45658</v>
      </c>
      <c r="O44" s="2">
        <v>3.0515046296296297E-2</v>
      </c>
      <c r="P44" t="s">
        <v>31</v>
      </c>
      <c r="Q44" s="2">
        <v>3.0515046296296297E-2</v>
      </c>
      <c r="R44" t="s">
        <v>132</v>
      </c>
      <c r="S44" t="s">
        <v>133</v>
      </c>
      <c r="V44" s="2">
        <v>3.0679398148148147E-2</v>
      </c>
      <c r="W44" t="s">
        <v>32</v>
      </c>
      <c r="X44" t="s">
        <v>30</v>
      </c>
    </row>
    <row r="45" spans="1:24" x14ac:dyDescent="0.3">
      <c r="A45" t="s">
        <v>134</v>
      </c>
      <c r="B45" t="s">
        <v>25</v>
      </c>
      <c r="C45" t="s">
        <v>26</v>
      </c>
      <c r="D45">
        <v>24447.599999999999</v>
      </c>
      <c r="E45">
        <v>18000</v>
      </c>
      <c r="F45">
        <v>24447.599999999999</v>
      </c>
      <c r="G45" t="s">
        <v>38</v>
      </c>
      <c r="H45">
        <v>3203070</v>
      </c>
      <c r="I45" t="s">
        <v>129</v>
      </c>
      <c r="J45" t="s">
        <v>29</v>
      </c>
      <c r="K45" t="s">
        <v>30</v>
      </c>
      <c r="M45" s="1">
        <v>45658</v>
      </c>
      <c r="O45" s="2">
        <v>3.0515046296296297E-2</v>
      </c>
      <c r="P45" t="s">
        <v>31</v>
      </c>
      <c r="Q45" s="2">
        <v>3.0515046296296297E-2</v>
      </c>
      <c r="R45" t="s">
        <v>135</v>
      </c>
      <c r="S45" t="s">
        <v>136</v>
      </c>
      <c r="V45" s="2">
        <v>3.0679398148148147E-2</v>
      </c>
      <c r="W45" t="s">
        <v>32</v>
      </c>
      <c r="X45" t="s">
        <v>30</v>
      </c>
    </row>
    <row r="46" spans="1:24" x14ac:dyDescent="0.3">
      <c r="A46" t="s">
        <v>137</v>
      </c>
      <c r="B46" t="s">
        <v>25</v>
      </c>
      <c r="C46" t="s">
        <v>26</v>
      </c>
      <c r="D46">
        <v>0.03</v>
      </c>
      <c r="E46">
        <v>0.02</v>
      </c>
      <c r="F46">
        <v>0.03</v>
      </c>
      <c r="G46" t="s">
        <v>38</v>
      </c>
      <c r="H46">
        <v>3203070</v>
      </c>
      <c r="I46" t="s">
        <v>129</v>
      </c>
      <c r="J46" t="s">
        <v>29</v>
      </c>
      <c r="K46" t="s">
        <v>30</v>
      </c>
      <c r="M46" s="1">
        <v>45658</v>
      </c>
      <c r="O46" s="2">
        <v>3.0515046296296297E-2</v>
      </c>
      <c r="P46" t="s">
        <v>31</v>
      </c>
      <c r="Q46" s="2">
        <v>3.0515046296296297E-2</v>
      </c>
      <c r="R46" t="s">
        <v>138</v>
      </c>
      <c r="S46" t="s">
        <v>139</v>
      </c>
      <c r="V46" s="2">
        <v>3.0679398148148147E-2</v>
      </c>
      <c r="W46" t="s">
        <v>32</v>
      </c>
      <c r="X46" t="s">
        <v>30</v>
      </c>
    </row>
    <row r="47" spans="1:24" x14ac:dyDescent="0.3">
      <c r="A47" t="s">
        <v>140</v>
      </c>
      <c r="B47" t="s">
        <v>43</v>
      </c>
      <c r="C47" t="s">
        <v>26</v>
      </c>
      <c r="D47">
        <v>-11224.11</v>
      </c>
      <c r="E47">
        <v>-8410.33</v>
      </c>
      <c r="F47">
        <v>-11224.11</v>
      </c>
      <c r="G47" t="s">
        <v>27</v>
      </c>
      <c r="H47">
        <v>1110200</v>
      </c>
      <c r="I47" t="s">
        <v>112</v>
      </c>
      <c r="J47" t="s">
        <v>44</v>
      </c>
      <c r="K47" t="s">
        <v>45</v>
      </c>
      <c r="M47" s="1">
        <v>45658</v>
      </c>
      <c r="O47" s="2">
        <v>3.0515046296296297E-2</v>
      </c>
      <c r="P47" t="s">
        <v>31</v>
      </c>
      <c r="Q47" s="2">
        <v>3.0515046296296297E-2</v>
      </c>
      <c r="V47" s="2">
        <v>3.0679398148148147E-2</v>
      </c>
      <c r="W47" t="s">
        <v>32</v>
      </c>
      <c r="X47" t="s">
        <v>141</v>
      </c>
    </row>
    <row r="48" spans="1:24" x14ac:dyDescent="0.3">
      <c r="A48" t="s">
        <v>142</v>
      </c>
      <c r="B48" t="s">
        <v>25</v>
      </c>
      <c r="C48" t="s">
        <v>26</v>
      </c>
      <c r="D48">
        <v>51662.98</v>
      </c>
      <c r="E48">
        <v>38405.83</v>
      </c>
      <c r="F48">
        <v>51662.98</v>
      </c>
      <c r="G48" t="s">
        <v>27</v>
      </c>
      <c r="H48">
        <v>1243816</v>
      </c>
      <c r="I48" t="s">
        <v>59</v>
      </c>
      <c r="J48" t="s">
        <v>29</v>
      </c>
      <c r="K48" t="s">
        <v>30</v>
      </c>
      <c r="M48" s="1">
        <v>45658</v>
      </c>
      <c r="O48" s="2">
        <v>3.0515046296296297E-2</v>
      </c>
      <c r="P48" t="s">
        <v>31</v>
      </c>
      <c r="Q48" s="2">
        <v>3.0515046296296297E-2</v>
      </c>
      <c r="R48" t="s">
        <v>143</v>
      </c>
      <c r="S48" t="s">
        <v>144</v>
      </c>
      <c r="V48" s="2">
        <v>3.0679398148148147E-2</v>
      </c>
      <c r="W48" t="s">
        <v>32</v>
      </c>
      <c r="X48" t="s">
        <v>30</v>
      </c>
    </row>
    <row r="49" spans="1:24" x14ac:dyDescent="0.3">
      <c r="A49" t="s">
        <v>145</v>
      </c>
      <c r="B49" t="s">
        <v>25</v>
      </c>
      <c r="C49" t="s">
        <v>26</v>
      </c>
      <c r="D49">
        <v>1088.3800000000001</v>
      </c>
      <c r="E49">
        <v>807.3</v>
      </c>
      <c r="F49">
        <v>1088.3800000000001</v>
      </c>
      <c r="G49" t="s">
        <v>27</v>
      </c>
      <c r="H49">
        <v>1243816</v>
      </c>
      <c r="I49" t="s">
        <v>59</v>
      </c>
      <c r="J49" t="s">
        <v>29</v>
      </c>
      <c r="K49" t="s">
        <v>30</v>
      </c>
      <c r="M49" s="1">
        <v>45658</v>
      </c>
      <c r="O49" s="2">
        <v>3.0515046296296297E-2</v>
      </c>
      <c r="P49" t="s">
        <v>31</v>
      </c>
      <c r="Q49" s="2">
        <v>3.0515046296296297E-2</v>
      </c>
      <c r="R49" t="s">
        <v>146</v>
      </c>
      <c r="S49" t="s">
        <v>147</v>
      </c>
      <c r="V49" s="2">
        <v>3.0679398148148147E-2</v>
      </c>
      <c r="W49" t="s">
        <v>32</v>
      </c>
      <c r="X49" t="s">
        <v>30</v>
      </c>
    </row>
    <row r="50" spans="1:24" x14ac:dyDescent="0.3">
      <c r="A50" t="s">
        <v>148</v>
      </c>
      <c r="B50" t="s">
        <v>25</v>
      </c>
      <c r="C50" t="s">
        <v>26</v>
      </c>
      <c r="D50">
        <v>0.01</v>
      </c>
      <c r="E50">
        <v>0.01</v>
      </c>
      <c r="F50">
        <v>0.01</v>
      </c>
      <c r="G50" t="s">
        <v>27</v>
      </c>
      <c r="H50">
        <v>1243816</v>
      </c>
      <c r="I50" t="s">
        <v>59</v>
      </c>
      <c r="J50" t="s">
        <v>29</v>
      </c>
      <c r="K50" t="s">
        <v>30</v>
      </c>
      <c r="M50" s="1">
        <v>45658</v>
      </c>
      <c r="O50" s="2">
        <v>3.0515046296296297E-2</v>
      </c>
      <c r="P50" t="s">
        <v>31</v>
      </c>
      <c r="Q50" s="2">
        <v>3.0515046296296297E-2</v>
      </c>
      <c r="R50" t="s">
        <v>149</v>
      </c>
      <c r="S50" t="s">
        <v>150</v>
      </c>
      <c r="V50" s="2">
        <v>3.0679398148148147E-2</v>
      </c>
      <c r="W50" t="s">
        <v>32</v>
      </c>
      <c r="X50" t="s">
        <v>30</v>
      </c>
    </row>
    <row r="51" spans="1:24" x14ac:dyDescent="0.3">
      <c r="A51" t="s">
        <v>151</v>
      </c>
      <c r="B51" t="s">
        <v>25</v>
      </c>
      <c r="C51" t="s">
        <v>26</v>
      </c>
      <c r="D51">
        <v>0.01</v>
      </c>
      <c r="E51">
        <v>2.2999999999999998</v>
      </c>
      <c r="F51">
        <v>0.01</v>
      </c>
      <c r="G51" t="s">
        <v>27</v>
      </c>
      <c r="H51">
        <v>1243816</v>
      </c>
      <c r="I51" t="s">
        <v>59</v>
      </c>
      <c r="J51" t="s">
        <v>29</v>
      </c>
      <c r="K51" t="s">
        <v>30</v>
      </c>
      <c r="M51" s="1">
        <v>45658</v>
      </c>
      <c r="O51" s="2">
        <v>3.0515046296296297E-2</v>
      </c>
      <c r="P51" t="s">
        <v>31</v>
      </c>
      <c r="Q51" s="2">
        <v>3.0515046296296297E-2</v>
      </c>
      <c r="R51" t="s">
        <v>152</v>
      </c>
      <c r="S51" t="s">
        <v>153</v>
      </c>
      <c r="V51" s="2">
        <v>3.0679398148148147E-2</v>
      </c>
      <c r="W51" t="s">
        <v>32</v>
      </c>
      <c r="X51" t="s">
        <v>30</v>
      </c>
    </row>
    <row r="52" spans="1:24" x14ac:dyDescent="0.3">
      <c r="A52" t="s">
        <v>154</v>
      </c>
      <c r="B52" t="s">
        <v>25</v>
      </c>
      <c r="C52" t="s">
        <v>26</v>
      </c>
      <c r="D52">
        <v>117.71</v>
      </c>
      <c r="E52">
        <v>673.57</v>
      </c>
      <c r="F52">
        <v>117.71</v>
      </c>
      <c r="G52" t="s">
        <v>27</v>
      </c>
      <c r="H52">
        <v>1243816</v>
      </c>
      <c r="I52" t="s">
        <v>59</v>
      </c>
      <c r="J52" t="s">
        <v>29</v>
      </c>
      <c r="K52" t="s">
        <v>30</v>
      </c>
      <c r="M52" s="1">
        <v>45658</v>
      </c>
      <c r="O52" s="2">
        <v>3.0515046296296297E-2</v>
      </c>
      <c r="P52" t="s">
        <v>31</v>
      </c>
      <c r="Q52" s="2">
        <v>3.0515046296296297E-2</v>
      </c>
      <c r="R52" t="s">
        <v>155</v>
      </c>
      <c r="S52" t="s">
        <v>156</v>
      </c>
      <c r="V52" s="2">
        <v>3.0679398148148147E-2</v>
      </c>
      <c r="W52" t="s">
        <v>32</v>
      </c>
      <c r="X52" t="s">
        <v>30</v>
      </c>
    </row>
    <row r="53" spans="1:24" x14ac:dyDescent="0.3">
      <c r="A53" t="s">
        <v>157</v>
      </c>
      <c r="B53" t="s">
        <v>25</v>
      </c>
      <c r="C53" t="s">
        <v>26</v>
      </c>
      <c r="D53">
        <v>-176.52</v>
      </c>
      <c r="E53">
        <v>-128.22</v>
      </c>
      <c r="F53">
        <v>-176.52</v>
      </c>
      <c r="G53" t="s">
        <v>27</v>
      </c>
      <c r="H53">
        <v>1243816</v>
      </c>
      <c r="I53" t="s">
        <v>59</v>
      </c>
      <c r="J53" t="s">
        <v>29</v>
      </c>
      <c r="K53" t="s">
        <v>30</v>
      </c>
      <c r="M53" s="1">
        <v>45658</v>
      </c>
      <c r="O53" s="2">
        <v>3.0515046296296297E-2</v>
      </c>
      <c r="P53" t="s">
        <v>31</v>
      </c>
      <c r="Q53" s="2">
        <v>3.0515046296296297E-2</v>
      </c>
      <c r="R53" t="s">
        <v>158</v>
      </c>
      <c r="S53" t="s">
        <v>159</v>
      </c>
      <c r="V53" s="2">
        <v>3.0679398148148147E-2</v>
      </c>
      <c r="W53" t="s">
        <v>32</v>
      </c>
      <c r="X53" t="s">
        <v>30</v>
      </c>
    </row>
    <row r="54" spans="1:24" x14ac:dyDescent="0.3">
      <c r="A54" t="s">
        <v>160</v>
      </c>
      <c r="B54" t="s">
        <v>25</v>
      </c>
      <c r="C54" t="s">
        <v>26</v>
      </c>
      <c r="D54">
        <v>-691.28</v>
      </c>
      <c r="E54">
        <v>-506.58</v>
      </c>
      <c r="F54">
        <v>-691.28</v>
      </c>
      <c r="G54" t="s">
        <v>27</v>
      </c>
      <c r="H54">
        <v>1243816</v>
      </c>
      <c r="I54" t="s">
        <v>59</v>
      </c>
      <c r="J54" t="s">
        <v>29</v>
      </c>
      <c r="K54" t="s">
        <v>30</v>
      </c>
      <c r="M54" s="1">
        <v>45658</v>
      </c>
      <c r="O54" s="2">
        <v>3.0515046296296297E-2</v>
      </c>
      <c r="P54" t="s">
        <v>31</v>
      </c>
      <c r="Q54" s="2">
        <v>3.0515046296296297E-2</v>
      </c>
      <c r="R54" t="s">
        <v>161</v>
      </c>
      <c r="S54" t="s">
        <v>162</v>
      </c>
      <c r="V54" s="2">
        <v>3.0679398148148147E-2</v>
      </c>
      <c r="W54" t="s">
        <v>32</v>
      </c>
      <c r="X54" t="s">
        <v>30</v>
      </c>
    </row>
    <row r="55" spans="1:24" x14ac:dyDescent="0.3">
      <c r="A55" t="s">
        <v>163</v>
      </c>
      <c r="B55" t="s">
        <v>25</v>
      </c>
      <c r="C55" t="s">
        <v>26</v>
      </c>
      <c r="D55">
        <v>0.61</v>
      </c>
      <c r="E55">
        <v>0.45</v>
      </c>
      <c r="F55">
        <v>0.61</v>
      </c>
      <c r="G55" t="s">
        <v>38</v>
      </c>
      <c r="H55">
        <v>3203040</v>
      </c>
      <c r="I55" t="s">
        <v>129</v>
      </c>
      <c r="J55" t="s">
        <v>29</v>
      </c>
      <c r="K55" t="s">
        <v>30</v>
      </c>
      <c r="M55" s="1">
        <v>45658</v>
      </c>
      <c r="O55" s="2">
        <v>3.0515046296296297E-2</v>
      </c>
      <c r="P55" t="s">
        <v>31</v>
      </c>
      <c r="Q55" s="2">
        <v>3.0515046296296297E-2</v>
      </c>
      <c r="R55" t="s">
        <v>67</v>
      </c>
      <c r="S55" t="s">
        <v>68</v>
      </c>
      <c r="V55" s="2">
        <v>3.0679398148148147E-2</v>
      </c>
      <c r="W55" t="s">
        <v>32</v>
      </c>
      <c r="X55" t="s">
        <v>30</v>
      </c>
    </row>
    <row r="56" spans="1:24" x14ac:dyDescent="0.3">
      <c r="A56" t="s">
        <v>164</v>
      </c>
      <c r="B56" t="s">
        <v>25</v>
      </c>
      <c r="C56" t="s">
        <v>26</v>
      </c>
      <c r="D56">
        <v>-0.48</v>
      </c>
      <c r="E56">
        <v>-0.35</v>
      </c>
      <c r="F56">
        <v>-0.48</v>
      </c>
      <c r="G56" t="s">
        <v>38</v>
      </c>
      <c r="H56">
        <v>3203040</v>
      </c>
      <c r="I56" t="s">
        <v>129</v>
      </c>
      <c r="J56" t="s">
        <v>29</v>
      </c>
      <c r="K56" t="s">
        <v>30</v>
      </c>
      <c r="M56" s="1">
        <v>45658</v>
      </c>
      <c r="O56" s="2">
        <v>3.0515046296296297E-2</v>
      </c>
      <c r="P56" t="s">
        <v>31</v>
      </c>
      <c r="Q56" s="2">
        <v>3.0515046296296297E-2</v>
      </c>
      <c r="R56" t="s">
        <v>143</v>
      </c>
      <c r="S56" t="s">
        <v>144</v>
      </c>
      <c r="V56" s="2">
        <v>3.0679398148148147E-2</v>
      </c>
      <c r="W56" t="s">
        <v>32</v>
      </c>
      <c r="X56" t="s">
        <v>30</v>
      </c>
    </row>
    <row r="57" spans="1:24" x14ac:dyDescent="0.3">
      <c r="A57" t="s">
        <v>165</v>
      </c>
      <c r="B57" t="s">
        <v>43</v>
      </c>
      <c r="C57" t="s">
        <v>26</v>
      </c>
      <c r="D57">
        <v>174193.56</v>
      </c>
      <c r="E57">
        <v>130567.29</v>
      </c>
      <c r="F57">
        <v>174193.56</v>
      </c>
      <c r="G57" t="s">
        <v>27</v>
      </c>
      <c r="H57">
        <v>1110102</v>
      </c>
      <c r="I57" t="s">
        <v>34</v>
      </c>
      <c r="J57" t="s">
        <v>44</v>
      </c>
      <c r="K57" t="s">
        <v>45</v>
      </c>
      <c r="M57" s="1">
        <v>45658</v>
      </c>
      <c r="O57" s="2">
        <v>3.0515046296296297E-2</v>
      </c>
      <c r="P57" t="s">
        <v>31</v>
      </c>
      <c r="Q57" s="2">
        <v>3.0515046296296297E-2</v>
      </c>
      <c r="V57" s="2">
        <v>3.0679398148148147E-2</v>
      </c>
      <c r="W57" t="s">
        <v>32</v>
      </c>
      <c r="X57" t="s">
        <v>166</v>
      </c>
    </row>
    <row r="58" spans="1:24" x14ac:dyDescent="0.3">
      <c r="A58" t="s">
        <v>167</v>
      </c>
      <c r="B58" t="s">
        <v>25</v>
      </c>
      <c r="C58" t="s">
        <v>26</v>
      </c>
      <c r="D58">
        <v>1683965.12</v>
      </c>
      <c r="E58">
        <v>1342794.68</v>
      </c>
      <c r="F58">
        <v>1683965.12</v>
      </c>
      <c r="G58" t="s">
        <v>27</v>
      </c>
      <c r="H58">
        <v>1100600</v>
      </c>
      <c r="I58" t="s">
        <v>168</v>
      </c>
      <c r="J58" t="s">
        <v>29</v>
      </c>
      <c r="K58" t="s">
        <v>30</v>
      </c>
      <c r="M58" s="1">
        <v>45658</v>
      </c>
      <c r="O58" s="2">
        <v>3.0515046296296297E-2</v>
      </c>
      <c r="P58" t="s">
        <v>31</v>
      </c>
      <c r="Q58" s="2">
        <v>3.0515046296296297E-2</v>
      </c>
      <c r="V58" s="2">
        <v>3.0679398148148147E-2</v>
      </c>
      <c r="W58" t="s">
        <v>32</v>
      </c>
      <c r="X58" t="s">
        <v>30</v>
      </c>
    </row>
    <row r="59" spans="1:24" x14ac:dyDescent="0.3">
      <c r="A59" t="s">
        <v>169</v>
      </c>
      <c r="B59" t="s">
        <v>25</v>
      </c>
      <c r="C59" t="s">
        <v>26</v>
      </c>
      <c r="D59">
        <v>-11772781</v>
      </c>
      <c r="E59">
        <v>-8667929.3300000001</v>
      </c>
      <c r="F59">
        <v>-11772781</v>
      </c>
      <c r="G59" t="s">
        <v>38</v>
      </c>
      <c r="H59">
        <v>1214202</v>
      </c>
      <c r="I59" t="s">
        <v>55</v>
      </c>
      <c r="J59" t="s">
        <v>29</v>
      </c>
      <c r="K59" t="s">
        <v>30</v>
      </c>
      <c r="M59" s="1">
        <v>45658</v>
      </c>
      <c r="O59" s="2">
        <v>3.0515046296296297E-2</v>
      </c>
      <c r="P59" t="s">
        <v>31</v>
      </c>
      <c r="Q59" s="2">
        <v>3.0515046296296297E-2</v>
      </c>
      <c r="V59" s="2">
        <v>3.0679398148148147E-2</v>
      </c>
      <c r="W59" t="s">
        <v>32</v>
      </c>
      <c r="X59" t="s">
        <v>30</v>
      </c>
    </row>
    <row r="60" spans="1:24" x14ac:dyDescent="0.3">
      <c r="A60" t="s">
        <v>170</v>
      </c>
      <c r="B60" t="s">
        <v>25</v>
      </c>
      <c r="C60" t="s">
        <v>26</v>
      </c>
      <c r="D60">
        <v>194764.89</v>
      </c>
      <c r="E60">
        <v>224936.59</v>
      </c>
      <c r="F60">
        <v>194764.89</v>
      </c>
      <c r="G60" t="s">
        <v>27</v>
      </c>
      <c r="H60">
        <v>1243000</v>
      </c>
      <c r="I60" t="s">
        <v>171</v>
      </c>
      <c r="J60" t="s">
        <v>29</v>
      </c>
      <c r="K60" t="s">
        <v>30</v>
      </c>
      <c r="M60" s="1">
        <v>45658</v>
      </c>
      <c r="O60" s="2">
        <v>3.0515046296296297E-2</v>
      </c>
      <c r="P60" t="s">
        <v>31</v>
      </c>
      <c r="Q60" s="2">
        <v>3.0515046296296297E-2</v>
      </c>
      <c r="V60" s="2">
        <v>3.0679398148148147E-2</v>
      </c>
      <c r="W60" t="s">
        <v>32</v>
      </c>
      <c r="X60" t="s">
        <v>30</v>
      </c>
    </row>
    <row r="61" spans="1:24" x14ac:dyDescent="0.3">
      <c r="A61" t="s">
        <v>172</v>
      </c>
      <c r="B61" t="s">
        <v>25</v>
      </c>
      <c r="C61" t="s">
        <v>26</v>
      </c>
      <c r="D61">
        <v>-30752.06</v>
      </c>
      <c r="E61">
        <v>-22470.32</v>
      </c>
      <c r="F61">
        <v>-30752.06</v>
      </c>
      <c r="G61" t="s">
        <v>38</v>
      </c>
      <c r="H61">
        <v>1244242</v>
      </c>
      <c r="I61" t="s">
        <v>173</v>
      </c>
      <c r="J61" t="s">
        <v>29</v>
      </c>
      <c r="K61" t="s">
        <v>30</v>
      </c>
      <c r="M61" s="1">
        <v>45658</v>
      </c>
      <c r="O61" s="2">
        <v>3.0515046296296297E-2</v>
      </c>
      <c r="P61" t="s">
        <v>31</v>
      </c>
      <c r="Q61" s="2">
        <v>3.0515046296296297E-2</v>
      </c>
      <c r="V61" s="2">
        <v>3.0679398148148147E-2</v>
      </c>
      <c r="W61" t="s">
        <v>32</v>
      </c>
      <c r="X61" t="s">
        <v>30</v>
      </c>
    </row>
    <row r="62" spans="1:24" x14ac:dyDescent="0.3">
      <c r="A62" t="s">
        <v>174</v>
      </c>
      <c r="B62" t="s">
        <v>25</v>
      </c>
      <c r="C62" t="s">
        <v>26</v>
      </c>
      <c r="D62">
        <v>-55458.03</v>
      </c>
      <c r="E62">
        <v>245655.69</v>
      </c>
      <c r="F62">
        <v>-55458.03</v>
      </c>
      <c r="G62" t="s">
        <v>27</v>
      </c>
      <c r="H62">
        <v>3121107</v>
      </c>
      <c r="I62" t="s">
        <v>175</v>
      </c>
      <c r="J62" t="s">
        <v>29</v>
      </c>
      <c r="K62" t="s">
        <v>30</v>
      </c>
      <c r="M62" s="1">
        <v>45658</v>
      </c>
      <c r="O62" s="2">
        <v>3.0515046296296297E-2</v>
      </c>
      <c r="P62" t="s">
        <v>31</v>
      </c>
      <c r="Q62" s="2">
        <v>3.0515046296296297E-2</v>
      </c>
      <c r="V62" s="2">
        <v>3.0679398148148147E-2</v>
      </c>
      <c r="W62" t="s">
        <v>32</v>
      </c>
      <c r="X62" t="s">
        <v>30</v>
      </c>
    </row>
    <row r="63" spans="1:24" x14ac:dyDescent="0.3">
      <c r="A63" t="s">
        <v>176</v>
      </c>
      <c r="B63" t="s">
        <v>43</v>
      </c>
      <c r="C63" t="s">
        <v>26</v>
      </c>
      <c r="D63">
        <v>38769</v>
      </c>
      <c r="E63">
        <v>29182.03</v>
      </c>
      <c r="F63">
        <v>38769</v>
      </c>
      <c r="G63" t="s">
        <v>27</v>
      </c>
      <c r="H63">
        <v>1100600</v>
      </c>
      <c r="I63" t="s">
        <v>168</v>
      </c>
      <c r="J63" t="s">
        <v>44</v>
      </c>
      <c r="K63" t="s">
        <v>45</v>
      </c>
      <c r="M63" s="1">
        <v>45658</v>
      </c>
      <c r="O63" s="2">
        <v>3.0515046296296297E-2</v>
      </c>
      <c r="P63" t="s">
        <v>31</v>
      </c>
      <c r="Q63" s="2">
        <v>3.0515046296296297E-2</v>
      </c>
      <c r="V63" s="2">
        <v>4.1190972222222226E-2</v>
      </c>
      <c r="W63" t="s">
        <v>32</v>
      </c>
      <c r="X63" t="s">
        <v>177</v>
      </c>
    </row>
    <row r="64" spans="1:24" x14ac:dyDescent="0.3">
      <c r="A64" t="s">
        <v>178</v>
      </c>
      <c r="B64" t="s">
        <v>25</v>
      </c>
      <c r="C64" t="s">
        <v>26</v>
      </c>
      <c r="D64">
        <v>9206</v>
      </c>
      <c r="E64">
        <v>6951.07</v>
      </c>
      <c r="F64">
        <v>9206</v>
      </c>
      <c r="G64" t="s">
        <v>27</v>
      </c>
      <c r="H64">
        <v>1100201</v>
      </c>
      <c r="I64" t="s">
        <v>179</v>
      </c>
      <c r="J64" t="s">
        <v>29</v>
      </c>
      <c r="K64" t="s">
        <v>30</v>
      </c>
      <c r="M64" s="1">
        <v>45658</v>
      </c>
      <c r="O64" s="2">
        <v>3.0515046296296297E-2</v>
      </c>
      <c r="P64" t="s">
        <v>31</v>
      </c>
      <c r="Q64" s="2">
        <v>3.0515046296296297E-2</v>
      </c>
      <c r="V64" s="2">
        <v>3.0679398148148147E-2</v>
      </c>
      <c r="W64" t="s">
        <v>32</v>
      </c>
      <c r="X64" t="s">
        <v>30</v>
      </c>
    </row>
    <row r="65" spans="1:24" x14ac:dyDescent="0.3">
      <c r="A65" t="s">
        <v>180</v>
      </c>
      <c r="B65" t="s">
        <v>25</v>
      </c>
      <c r="C65" t="s">
        <v>26</v>
      </c>
      <c r="D65">
        <v>2261318.7799999998</v>
      </c>
      <c r="E65">
        <v>2484010.73</v>
      </c>
      <c r="F65">
        <v>2261318.7799999998</v>
      </c>
      <c r="G65" t="s">
        <v>27</v>
      </c>
      <c r="H65">
        <v>1213204</v>
      </c>
      <c r="I65" t="s">
        <v>117</v>
      </c>
      <c r="J65" t="s">
        <v>29</v>
      </c>
      <c r="K65" t="s">
        <v>30</v>
      </c>
      <c r="M65" s="1">
        <v>45658</v>
      </c>
      <c r="O65" s="2">
        <v>3.0515046296296297E-2</v>
      </c>
      <c r="P65" t="s">
        <v>31</v>
      </c>
      <c r="Q65" s="2">
        <v>3.0515046296296297E-2</v>
      </c>
      <c r="V65" s="2">
        <v>3.0679398148148147E-2</v>
      </c>
      <c r="W65" t="s">
        <v>32</v>
      </c>
      <c r="X65" t="s">
        <v>30</v>
      </c>
    </row>
    <row r="66" spans="1:24" x14ac:dyDescent="0.3">
      <c r="A66" t="s">
        <v>181</v>
      </c>
      <c r="B66" t="s">
        <v>25</v>
      </c>
      <c r="C66" t="s">
        <v>26</v>
      </c>
      <c r="D66">
        <v>23921.96</v>
      </c>
      <c r="E66">
        <v>17612.990000000002</v>
      </c>
      <c r="F66">
        <v>23921.96</v>
      </c>
      <c r="G66" t="s">
        <v>38</v>
      </c>
      <c r="H66">
        <v>1215002</v>
      </c>
      <c r="I66" t="s">
        <v>182</v>
      </c>
      <c r="J66" t="s">
        <v>29</v>
      </c>
      <c r="K66" t="s">
        <v>30</v>
      </c>
      <c r="M66" s="1">
        <v>45658</v>
      </c>
      <c r="O66" s="2">
        <v>3.0515046296296297E-2</v>
      </c>
      <c r="P66" t="s">
        <v>31</v>
      </c>
      <c r="Q66" s="2">
        <v>3.0515046296296297E-2</v>
      </c>
      <c r="V66" s="2">
        <v>3.0679398148148147E-2</v>
      </c>
      <c r="W66" t="s">
        <v>32</v>
      </c>
      <c r="X66" t="s">
        <v>30</v>
      </c>
    </row>
    <row r="67" spans="1:24" x14ac:dyDescent="0.3">
      <c r="A67" t="s">
        <v>183</v>
      </c>
      <c r="B67" t="s">
        <v>25</v>
      </c>
      <c r="C67" t="s">
        <v>26</v>
      </c>
      <c r="D67">
        <v>-81422.399999999994</v>
      </c>
      <c r="E67">
        <v>-61435.71</v>
      </c>
      <c r="F67">
        <v>-81422.399999999994</v>
      </c>
      <c r="G67" t="s">
        <v>27</v>
      </c>
      <c r="H67">
        <v>1225100</v>
      </c>
      <c r="I67" t="s">
        <v>119</v>
      </c>
      <c r="J67" t="s">
        <v>29</v>
      </c>
      <c r="K67" t="s">
        <v>30</v>
      </c>
      <c r="M67" s="1">
        <v>45658</v>
      </c>
      <c r="O67" s="2">
        <v>3.0515046296296297E-2</v>
      </c>
      <c r="P67" t="s">
        <v>31</v>
      </c>
      <c r="Q67" s="2">
        <v>3.0515046296296297E-2</v>
      </c>
      <c r="V67" s="2">
        <v>3.0679398148148147E-2</v>
      </c>
      <c r="W67" t="s">
        <v>32</v>
      </c>
      <c r="X67" t="s">
        <v>30</v>
      </c>
    </row>
    <row r="68" spans="1:24" x14ac:dyDescent="0.3">
      <c r="A68" t="s">
        <v>184</v>
      </c>
      <c r="B68" t="s">
        <v>25</v>
      </c>
      <c r="C68" t="s">
        <v>26</v>
      </c>
      <c r="D68">
        <v>0.2</v>
      </c>
      <c r="E68">
        <v>0.16</v>
      </c>
      <c r="F68">
        <v>0.2</v>
      </c>
      <c r="G68" t="s">
        <v>27</v>
      </c>
      <c r="H68">
        <v>1225100</v>
      </c>
      <c r="I68" t="s">
        <v>119</v>
      </c>
      <c r="J68" t="s">
        <v>29</v>
      </c>
      <c r="K68" t="s">
        <v>30</v>
      </c>
      <c r="M68" s="1">
        <v>45658</v>
      </c>
      <c r="O68" s="2">
        <v>3.0515046296296297E-2</v>
      </c>
      <c r="P68" t="s">
        <v>31</v>
      </c>
      <c r="Q68" s="2">
        <v>3.0515046296296297E-2</v>
      </c>
      <c r="V68" s="2">
        <v>3.0679398148148147E-2</v>
      </c>
      <c r="W68" t="s">
        <v>32</v>
      </c>
      <c r="X68" t="s">
        <v>30</v>
      </c>
    </row>
    <row r="69" spans="1:24" x14ac:dyDescent="0.3">
      <c r="A69" t="s">
        <v>185</v>
      </c>
      <c r="B69" t="s">
        <v>25</v>
      </c>
      <c r="C69" t="s">
        <v>26</v>
      </c>
      <c r="D69">
        <v>-93066.48</v>
      </c>
      <c r="E69">
        <v>-68029.67</v>
      </c>
      <c r="F69">
        <v>-93066.48</v>
      </c>
      <c r="G69" t="s">
        <v>27</v>
      </c>
      <c r="H69">
        <v>1225202</v>
      </c>
      <c r="I69" t="s">
        <v>186</v>
      </c>
      <c r="J69" t="s">
        <v>29</v>
      </c>
      <c r="K69" t="s">
        <v>30</v>
      </c>
      <c r="M69" s="1">
        <v>45658</v>
      </c>
      <c r="O69" s="2">
        <v>3.0515046296296297E-2</v>
      </c>
      <c r="P69" t="s">
        <v>31</v>
      </c>
      <c r="Q69" s="2">
        <v>3.0515046296296297E-2</v>
      </c>
      <c r="V69" s="2">
        <v>3.0679398148148147E-2</v>
      </c>
      <c r="W69" t="s">
        <v>32</v>
      </c>
      <c r="X69" t="s">
        <v>30</v>
      </c>
    </row>
    <row r="70" spans="1:24" x14ac:dyDescent="0.3">
      <c r="A70" t="s">
        <v>187</v>
      </c>
      <c r="B70" t="s">
        <v>25</v>
      </c>
      <c r="C70" t="s">
        <v>26</v>
      </c>
      <c r="D70">
        <v>65862.960000000006</v>
      </c>
      <c r="E70">
        <v>49082.76</v>
      </c>
      <c r="F70">
        <v>65862.960000000006</v>
      </c>
      <c r="G70" t="s">
        <v>27</v>
      </c>
      <c r="H70">
        <v>1225202</v>
      </c>
      <c r="I70" t="s">
        <v>186</v>
      </c>
      <c r="J70" t="s">
        <v>29</v>
      </c>
      <c r="K70" t="s">
        <v>30</v>
      </c>
      <c r="M70" s="1">
        <v>45658</v>
      </c>
      <c r="O70" s="2">
        <v>3.0515046296296297E-2</v>
      </c>
      <c r="P70" t="s">
        <v>31</v>
      </c>
      <c r="Q70" s="2">
        <v>3.0515046296296297E-2</v>
      </c>
      <c r="V70" s="2">
        <v>3.0679398148148147E-2</v>
      </c>
      <c r="W70" t="s">
        <v>32</v>
      </c>
      <c r="X70" t="s">
        <v>30</v>
      </c>
    </row>
    <row r="71" spans="1:24" x14ac:dyDescent="0.3">
      <c r="A71" t="s">
        <v>188</v>
      </c>
      <c r="B71" t="s">
        <v>25</v>
      </c>
      <c r="C71" t="s">
        <v>26</v>
      </c>
      <c r="D71">
        <v>-70864.45</v>
      </c>
      <c r="E71">
        <v>-57242.12</v>
      </c>
      <c r="F71">
        <v>-70864.45</v>
      </c>
      <c r="G71" t="s">
        <v>27</v>
      </c>
      <c r="H71">
        <v>3101000</v>
      </c>
      <c r="I71" t="s">
        <v>189</v>
      </c>
      <c r="J71" t="s">
        <v>29</v>
      </c>
      <c r="K71" t="s">
        <v>30</v>
      </c>
      <c r="M71" s="1">
        <v>45658</v>
      </c>
      <c r="O71" s="2">
        <v>3.0515046296296297E-2</v>
      </c>
      <c r="P71" t="s">
        <v>31</v>
      </c>
      <c r="Q71" s="2">
        <v>3.0515046296296297E-2</v>
      </c>
      <c r="V71" s="2">
        <v>3.0679398148148147E-2</v>
      </c>
      <c r="W71" t="s">
        <v>32</v>
      </c>
      <c r="X71" t="s">
        <v>30</v>
      </c>
    </row>
    <row r="72" spans="1:24" x14ac:dyDescent="0.3">
      <c r="A72" t="s">
        <v>190</v>
      </c>
      <c r="B72" t="s">
        <v>25</v>
      </c>
      <c r="C72" t="s">
        <v>26</v>
      </c>
      <c r="D72">
        <v>-2681.21</v>
      </c>
      <c r="E72">
        <v>-2710.99</v>
      </c>
      <c r="F72">
        <v>-2681.21</v>
      </c>
      <c r="G72" t="s">
        <v>27</v>
      </c>
      <c r="H72">
        <v>3103000</v>
      </c>
      <c r="I72" t="s">
        <v>191</v>
      </c>
      <c r="J72" t="s">
        <v>29</v>
      </c>
      <c r="K72" t="s">
        <v>30</v>
      </c>
      <c r="M72" s="1">
        <v>45658</v>
      </c>
      <c r="O72" s="2">
        <v>3.0515046296296297E-2</v>
      </c>
      <c r="P72" t="s">
        <v>31</v>
      </c>
      <c r="Q72" s="2">
        <v>3.0515046296296297E-2</v>
      </c>
      <c r="R72" t="s">
        <v>192</v>
      </c>
      <c r="S72" t="s">
        <v>193</v>
      </c>
      <c r="V72" s="2">
        <v>3.0679398148148147E-2</v>
      </c>
      <c r="W72" t="s">
        <v>32</v>
      </c>
      <c r="X72" t="s">
        <v>30</v>
      </c>
    </row>
    <row r="73" spans="1:24" x14ac:dyDescent="0.3">
      <c r="A73" t="s">
        <v>194</v>
      </c>
      <c r="B73" t="s">
        <v>25</v>
      </c>
      <c r="C73" t="s">
        <v>26</v>
      </c>
      <c r="D73">
        <v>0.01</v>
      </c>
      <c r="E73">
        <v>244.15</v>
      </c>
      <c r="F73">
        <v>0.01</v>
      </c>
      <c r="G73" t="s">
        <v>27</v>
      </c>
      <c r="H73">
        <v>3103000</v>
      </c>
      <c r="I73" t="s">
        <v>191</v>
      </c>
      <c r="J73" t="s">
        <v>29</v>
      </c>
      <c r="K73" t="s">
        <v>30</v>
      </c>
      <c r="M73" s="1">
        <v>45658</v>
      </c>
      <c r="O73" s="2">
        <v>3.0515046296296297E-2</v>
      </c>
      <c r="P73" t="s">
        <v>31</v>
      </c>
      <c r="Q73" s="2">
        <v>3.0515046296296297E-2</v>
      </c>
      <c r="R73" t="s">
        <v>61</v>
      </c>
      <c r="S73" t="s">
        <v>62</v>
      </c>
      <c r="V73" s="2">
        <v>3.0679398148148147E-2</v>
      </c>
      <c r="W73" t="s">
        <v>32</v>
      </c>
      <c r="X73" t="s">
        <v>30</v>
      </c>
    </row>
    <row r="74" spans="1:24" x14ac:dyDescent="0.3">
      <c r="A74" t="s">
        <v>195</v>
      </c>
      <c r="B74" t="s">
        <v>25</v>
      </c>
      <c r="C74" t="s">
        <v>26</v>
      </c>
      <c r="D74">
        <v>-2416.44</v>
      </c>
      <c r="E74">
        <v>-1779.15</v>
      </c>
      <c r="F74">
        <v>-2416.44</v>
      </c>
      <c r="G74" t="s">
        <v>27</v>
      </c>
      <c r="H74">
        <v>3103000</v>
      </c>
      <c r="I74" t="s">
        <v>191</v>
      </c>
      <c r="J74" t="s">
        <v>29</v>
      </c>
      <c r="K74" t="s">
        <v>30</v>
      </c>
      <c r="M74" s="1">
        <v>45658</v>
      </c>
      <c r="O74" s="2">
        <v>3.0515046296296297E-2</v>
      </c>
      <c r="P74" t="s">
        <v>31</v>
      </c>
      <c r="Q74" s="2">
        <v>3.0515046296296297E-2</v>
      </c>
      <c r="R74" t="s">
        <v>64</v>
      </c>
      <c r="S74" t="s">
        <v>65</v>
      </c>
      <c r="V74" s="2">
        <v>3.0679398148148147E-2</v>
      </c>
      <c r="W74" t="s">
        <v>32</v>
      </c>
      <c r="X74" t="s">
        <v>30</v>
      </c>
    </row>
    <row r="75" spans="1:24" x14ac:dyDescent="0.3">
      <c r="A75" t="s">
        <v>196</v>
      </c>
      <c r="B75" t="s">
        <v>25</v>
      </c>
      <c r="C75" t="s">
        <v>26</v>
      </c>
      <c r="D75">
        <v>0.04</v>
      </c>
      <c r="E75">
        <v>7.75</v>
      </c>
      <c r="F75">
        <v>0.04</v>
      </c>
      <c r="G75" t="s">
        <v>27</v>
      </c>
      <c r="H75">
        <v>3103000</v>
      </c>
      <c r="I75" t="s">
        <v>191</v>
      </c>
      <c r="J75" t="s">
        <v>29</v>
      </c>
      <c r="K75" t="s">
        <v>30</v>
      </c>
      <c r="M75" s="1">
        <v>45658</v>
      </c>
      <c r="O75" s="2">
        <v>3.0515046296296297E-2</v>
      </c>
      <c r="P75" t="s">
        <v>31</v>
      </c>
      <c r="Q75" s="2">
        <v>3.0515046296296297E-2</v>
      </c>
      <c r="R75" t="s">
        <v>197</v>
      </c>
      <c r="S75" t="s">
        <v>198</v>
      </c>
      <c r="V75" s="2">
        <v>3.0679398148148147E-2</v>
      </c>
      <c r="W75" t="s">
        <v>32</v>
      </c>
      <c r="X75" t="s">
        <v>30</v>
      </c>
    </row>
    <row r="76" spans="1:24" x14ac:dyDescent="0.3">
      <c r="A76" t="s">
        <v>199</v>
      </c>
      <c r="B76" t="s">
        <v>25</v>
      </c>
      <c r="C76" t="s">
        <v>26</v>
      </c>
      <c r="D76">
        <v>-4449.22</v>
      </c>
      <c r="E76">
        <v>-2622.67</v>
      </c>
      <c r="F76">
        <v>-4449.22</v>
      </c>
      <c r="G76" t="s">
        <v>27</v>
      </c>
      <c r="H76">
        <v>3103000</v>
      </c>
      <c r="I76" t="s">
        <v>191</v>
      </c>
      <c r="J76" t="s">
        <v>29</v>
      </c>
      <c r="K76" t="s">
        <v>30</v>
      </c>
      <c r="M76" s="1">
        <v>45658</v>
      </c>
      <c r="O76" s="2">
        <v>3.0515046296296297E-2</v>
      </c>
      <c r="P76" t="s">
        <v>31</v>
      </c>
      <c r="Q76" s="2">
        <v>3.0515046296296297E-2</v>
      </c>
      <c r="R76" t="s">
        <v>200</v>
      </c>
      <c r="S76" t="s">
        <v>201</v>
      </c>
      <c r="V76" s="2">
        <v>3.0679398148148147E-2</v>
      </c>
      <c r="W76" t="s">
        <v>32</v>
      </c>
      <c r="X76" t="s">
        <v>30</v>
      </c>
    </row>
    <row r="77" spans="1:24" x14ac:dyDescent="0.3">
      <c r="A77" t="s">
        <v>202</v>
      </c>
      <c r="B77" t="s">
        <v>25</v>
      </c>
      <c r="C77" t="s">
        <v>26</v>
      </c>
      <c r="D77">
        <v>-4056.94</v>
      </c>
      <c r="E77">
        <v>-2998.81</v>
      </c>
      <c r="F77">
        <v>-4056.94</v>
      </c>
      <c r="G77" t="s">
        <v>27</v>
      </c>
      <c r="H77">
        <v>3103000</v>
      </c>
      <c r="I77" t="s">
        <v>191</v>
      </c>
      <c r="J77" t="s">
        <v>29</v>
      </c>
      <c r="K77" t="s">
        <v>30</v>
      </c>
      <c r="M77" s="1">
        <v>45658</v>
      </c>
      <c r="O77" s="2">
        <v>3.0515046296296297E-2</v>
      </c>
      <c r="P77" t="s">
        <v>31</v>
      </c>
      <c r="Q77" s="2">
        <v>3.0515046296296297E-2</v>
      </c>
      <c r="R77" t="s">
        <v>203</v>
      </c>
      <c r="S77" t="s">
        <v>204</v>
      </c>
      <c r="V77" s="2">
        <v>3.0679398148148147E-2</v>
      </c>
      <c r="W77" t="s">
        <v>32</v>
      </c>
      <c r="X77" t="s">
        <v>30</v>
      </c>
    </row>
    <row r="78" spans="1:24" x14ac:dyDescent="0.3">
      <c r="A78" t="s">
        <v>205</v>
      </c>
      <c r="B78" t="s">
        <v>25</v>
      </c>
      <c r="C78" t="s">
        <v>26</v>
      </c>
      <c r="D78">
        <v>-0.01</v>
      </c>
      <c r="E78">
        <v>0.02</v>
      </c>
      <c r="F78">
        <v>-0.01</v>
      </c>
      <c r="G78" t="s">
        <v>27</v>
      </c>
      <c r="H78">
        <v>3103000</v>
      </c>
      <c r="I78" t="s">
        <v>191</v>
      </c>
      <c r="J78" t="s">
        <v>29</v>
      </c>
      <c r="K78" t="s">
        <v>30</v>
      </c>
      <c r="M78" s="1">
        <v>45658</v>
      </c>
      <c r="O78" s="2">
        <v>3.0515046296296297E-2</v>
      </c>
      <c r="P78" t="s">
        <v>31</v>
      </c>
      <c r="Q78" s="2">
        <v>3.0515046296296297E-2</v>
      </c>
      <c r="R78" t="s">
        <v>79</v>
      </c>
      <c r="S78" t="s">
        <v>80</v>
      </c>
      <c r="V78" s="2">
        <v>3.0679398148148147E-2</v>
      </c>
      <c r="W78" t="s">
        <v>32</v>
      </c>
      <c r="X78" t="s">
        <v>30</v>
      </c>
    </row>
    <row r="79" spans="1:24" x14ac:dyDescent="0.3">
      <c r="A79" t="s">
        <v>206</v>
      </c>
      <c r="B79" t="s">
        <v>25</v>
      </c>
      <c r="C79" t="s">
        <v>26</v>
      </c>
      <c r="D79">
        <v>-0.01</v>
      </c>
      <c r="E79">
        <v>0</v>
      </c>
      <c r="F79">
        <v>-0.01</v>
      </c>
      <c r="G79" t="s">
        <v>27</v>
      </c>
      <c r="H79">
        <v>3103000</v>
      </c>
      <c r="I79" t="s">
        <v>191</v>
      </c>
      <c r="J79" t="s">
        <v>29</v>
      </c>
      <c r="K79" t="s">
        <v>30</v>
      </c>
      <c r="M79" s="1">
        <v>45658</v>
      </c>
      <c r="O79" s="2">
        <v>3.0515046296296297E-2</v>
      </c>
      <c r="P79" t="s">
        <v>31</v>
      </c>
      <c r="Q79" s="2">
        <v>3.0515046296296297E-2</v>
      </c>
      <c r="R79" t="s">
        <v>207</v>
      </c>
      <c r="S79" t="s">
        <v>208</v>
      </c>
      <c r="V79" s="2">
        <v>3.0679398148148147E-2</v>
      </c>
      <c r="W79" t="s">
        <v>32</v>
      </c>
      <c r="X79" t="s">
        <v>30</v>
      </c>
    </row>
    <row r="80" spans="1:24" x14ac:dyDescent="0.3">
      <c r="A80" t="s">
        <v>209</v>
      </c>
      <c r="B80" t="s">
        <v>25</v>
      </c>
      <c r="C80" t="s">
        <v>26</v>
      </c>
      <c r="D80">
        <v>-0.02</v>
      </c>
      <c r="E80">
        <v>23.74</v>
      </c>
      <c r="F80">
        <v>-0.02</v>
      </c>
      <c r="G80" t="s">
        <v>27</v>
      </c>
      <c r="H80">
        <v>3103000</v>
      </c>
      <c r="I80" t="s">
        <v>191</v>
      </c>
      <c r="J80" t="s">
        <v>29</v>
      </c>
      <c r="K80" t="s">
        <v>30</v>
      </c>
      <c r="M80" s="1">
        <v>45658</v>
      </c>
      <c r="O80" s="2">
        <v>3.0515046296296297E-2</v>
      </c>
      <c r="P80" t="s">
        <v>31</v>
      </c>
      <c r="Q80" s="2">
        <v>3.0515046296296297E-2</v>
      </c>
      <c r="R80" t="s">
        <v>85</v>
      </c>
      <c r="S80" t="s">
        <v>86</v>
      </c>
      <c r="V80" s="2">
        <v>3.0679398148148147E-2</v>
      </c>
      <c r="W80" t="s">
        <v>32</v>
      </c>
      <c r="X80" t="s">
        <v>30</v>
      </c>
    </row>
    <row r="81" spans="1:24" x14ac:dyDescent="0.3">
      <c r="A81" t="s">
        <v>210</v>
      </c>
      <c r="B81" t="s">
        <v>25</v>
      </c>
      <c r="C81" t="s">
        <v>26</v>
      </c>
      <c r="D81">
        <v>73952.13</v>
      </c>
      <c r="E81">
        <v>57444.41</v>
      </c>
      <c r="F81">
        <v>73952.13</v>
      </c>
      <c r="G81" t="s">
        <v>27</v>
      </c>
      <c r="H81">
        <v>3103000</v>
      </c>
      <c r="I81" t="s">
        <v>191</v>
      </c>
      <c r="J81" t="s">
        <v>29</v>
      </c>
      <c r="K81" t="s">
        <v>30</v>
      </c>
      <c r="M81" s="1">
        <v>45658</v>
      </c>
      <c r="O81" s="2">
        <v>3.0515046296296297E-2</v>
      </c>
      <c r="P81" t="s">
        <v>31</v>
      </c>
      <c r="Q81" s="2">
        <v>3.0515046296296297E-2</v>
      </c>
      <c r="R81" t="s">
        <v>91</v>
      </c>
      <c r="S81" t="s">
        <v>92</v>
      </c>
      <c r="V81" s="2">
        <v>3.0679398148148147E-2</v>
      </c>
      <c r="W81" t="s">
        <v>32</v>
      </c>
      <c r="X81" t="s">
        <v>30</v>
      </c>
    </row>
    <row r="82" spans="1:24" x14ac:dyDescent="0.3">
      <c r="A82" t="s">
        <v>211</v>
      </c>
      <c r="B82" t="s">
        <v>25</v>
      </c>
      <c r="C82" t="s">
        <v>26</v>
      </c>
      <c r="D82">
        <v>0.01</v>
      </c>
      <c r="E82">
        <v>0</v>
      </c>
      <c r="F82">
        <v>0.01</v>
      </c>
      <c r="G82" t="s">
        <v>27</v>
      </c>
      <c r="H82">
        <v>3103000</v>
      </c>
      <c r="I82" t="s">
        <v>191</v>
      </c>
      <c r="J82" t="s">
        <v>29</v>
      </c>
      <c r="K82" t="s">
        <v>30</v>
      </c>
      <c r="M82" s="1">
        <v>45658</v>
      </c>
      <c r="O82" s="2">
        <v>3.0515046296296297E-2</v>
      </c>
      <c r="P82" t="s">
        <v>31</v>
      </c>
      <c r="Q82" s="2">
        <v>3.0515046296296297E-2</v>
      </c>
      <c r="R82" t="s">
        <v>97</v>
      </c>
      <c r="S82" t="s">
        <v>98</v>
      </c>
      <c r="V82" s="2">
        <v>3.0679398148148147E-2</v>
      </c>
      <c r="W82" t="s">
        <v>32</v>
      </c>
      <c r="X82" t="s">
        <v>30</v>
      </c>
    </row>
    <row r="83" spans="1:24" x14ac:dyDescent="0.3">
      <c r="A83" t="s">
        <v>212</v>
      </c>
      <c r="B83" t="s">
        <v>25</v>
      </c>
      <c r="C83" t="s">
        <v>26</v>
      </c>
      <c r="D83">
        <v>-108899.11</v>
      </c>
      <c r="E83">
        <v>-80780.509999999995</v>
      </c>
      <c r="F83">
        <v>-108899.11</v>
      </c>
      <c r="G83" t="s">
        <v>27</v>
      </c>
      <c r="H83">
        <v>3103000</v>
      </c>
      <c r="I83" t="s">
        <v>191</v>
      </c>
      <c r="J83" t="s">
        <v>29</v>
      </c>
      <c r="K83" t="s">
        <v>30</v>
      </c>
      <c r="M83" s="1">
        <v>45658</v>
      </c>
      <c r="O83" s="2">
        <v>3.0515046296296297E-2</v>
      </c>
      <c r="P83" t="s">
        <v>31</v>
      </c>
      <c r="Q83" s="2">
        <v>3.0515046296296297E-2</v>
      </c>
      <c r="R83" t="s">
        <v>100</v>
      </c>
      <c r="S83" t="s">
        <v>101</v>
      </c>
      <c r="V83" s="2">
        <v>3.0679398148148147E-2</v>
      </c>
      <c r="W83" t="s">
        <v>32</v>
      </c>
      <c r="X83" t="s">
        <v>30</v>
      </c>
    </row>
    <row r="84" spans="1:24" x14ac:dyDescent="0.3">
      <c r="A84" t="s">
        <v>213</v>
      </c>
      <c r="B84" t="s">
        <v>25</v>
      </c>
      <c r="C84" t="s">
        <v>26</v>
      </c>
      <c r="D84">
        <v>-9767.49</v>
      </c>
      <c r="E84">
        <v>-7200</v>
      </c>
      <c r="F84">
        <v>-9767.49</v>
      </c>
      <c r="G84" t="s">
        <v>27</v>
      </c>
      <c r="H84">
        <v>3103000</v>
      </c>
      <c r="I84" t="s">
        <v>191</v>
      </c>
      <c r="J84" t="s">
        <v>29</v>
      </c>
      <c r="K84" t="s">
        <v>30</v>
      </c>
      <c r="M84" s="1">
        <v>45658</v>
      </c>
      <c r="O84" s="2">
        <v>3.0515046296296297E-2</v>
      </c>
      <c r="P84" t="s">
        <v>31</v>
      </c>
      <c r="Q84" s="2">
        <v>3.0515046296296297E-2</v>
      </c>
      <c r="R84" t="s">
        <v>103</v>
      </c>
      <c r="S84" t="s">
        <v>104</v>
      </c>
      <c r="V84" s="2">
        <v>3.0679398148148147E-2</v>
      </c>
      <c r="W84" t="s">
        <v>32</v>
      </c>
      <c r="X84" t="s">
        <v>30</v>
      </c>
    </row>
    <row r="85" spans="1:24" x14ac:dyDescent="0.3">
      <c r="A85" t="s">
        <v>214</v>
      </c>
      <c r="B85" t="s">
        <v>25</v>
      </c>
      <c r="C85" t="s">
        <v>26</v>
      </c>
      <c r="D85">
        <v>-3219973.76</v>
      </c>
      <c r="E85">
        <v>-2383481.6800000002</v>
      </c>
      <c r="F85">
        <v>-3219973.76</v>
      </c>
      <c r="G85" t="s">
        <v>27</v>
      </c>
      <c r="H85">
        <v>3103000</v>
      </c>
      <c r="I85" t="s">
        <v>191</v>
      </c>
      <c r="J85" t="s">
        <v>29</v>
      </c>
      <c r="K85" t="s">
        <v>30</v>
      </c>
      <c r="M85" s="1">
        <v>45658</v>
      </c>
      <c r="O85" s="2">
        <v>3.0515046296296297E-2</v>
      </c>
      <c r="P85" t="s">
        <v>31</v>
      </c>
      <c r="Q85" s="2">
        <v>3.0515046296296297E-2</v>
      </c>
      <c r="R85" t="s">
        <v>138</v>
      </c>
      <c r="S85" t="s">
        <v>139</v>
      </c>
      <c r="V85" s="2">
        <v>3.0679398148148147E-2</v>
      </c>
      <c r="W85" t="s">
        <v>32</v>
      </c>
      <c r="X85" t="s">
        <v>30</v>
      </c>
    </row>
    <row r="86" spans="1:24" x14ac:dyDescent="0.3">
      <c r="A86" t="s">
        <v>215</v>
      </c>
      <c r="B86" t="s">
        <v>25</v>
      </c>
      <c r="C86" t="s">
        <v>26</v>
      </c>
      <c r="D86">
        <v>110461.74</v>
      </c>
      <c r="E86">
        <v>90888.47</v>
      </c>
      <c r="F86">
        <v>110461.74</v>
      </c>
      <c r="G86" t="s">
        <v>27</v>
      </c>
      <c r="H86">
        <v>1100200</v>
      </c>
      <c r="I86" t="s">
        <v>179</v>
      </c>
      <c r="J86" t="s">
        <v>29</v>
      </c>
      <c r="K86" t="s">
        <v>30</v>
      </c>
      <c r="M86" s="1">
        <v>45658</v>
      </c>
      <c r="O86" s="2">
        <v>3.0515046296296297E-2</v>
      </c>
      <c r="P86" t="s">
        <v>31</v>
      </c>
      <c r="Q86" s="2">
        <v>3.0515046296296297E-2</v>
      </c>
      <c r="V86" s="2">
        <v>3.0679398148148147E-2</v>
      </c>
      <c r="W86" t="s">
        <v>32</v>
      </c>
      <c r="X86" t="s">
        <v>30</v>
      </c>
    </row>
    <row r="87" spans="1:24" x14ac:dyDescent="0.3">
      <c r="A87" t="s">
        <v>216</v>
      </c>
      <c r="B87" t="s">
        <v>25</v>
      </c>
      <c r="C87" t="s">
        <v>26</v>
      </c>
      <c r="D87">
        <v>-307839.53000000003</v>
      </c>
      <c r="E87">
        <v>-241886.26</v>
      </c>
      <c r="F87">
        <v>-307839.53000000003</v>
      </c>
      <c r="G87" t="s">
        <v>27</v>
      </c>
      <c r="H87">
        <v>1110400</v>
      </c>
      <c r="I87" t="s">
        <v>217</v>
      </c>
      <c r="J87" t="s">
        <v>29</v>
      </c>
      <c r="K87" t="s">
        <v>30</v>
      </c>
      <c r="M87" s="1">
        <v>45658</v>
      </c>
      <c r="O87" s="2">
        <v>3.0515046296296297E-2</v>
      </c>
      <c r="P87" t="s">
        <v>31</v>
      </c>
      <c r="Q87" s="2">
        <v>3.0515046296296297E-2</v>
      </c>
      <c r="V87" s="2">
        <v>3.0679398148148147E-2</v>
      </c>
      <c r="W87" t="s">
        <v>32</v>
      </c>
      <c r="X87" t="s">
        <v>30</v>
      </c>
    </row>
    <row r="88" spans="1:24" x14ac:dyDescent="0.3">
      <c r="A88" t="s">
        <v>218</v>
      </c>
      <c r="B88" t="s">
        <v>25</v>
      </c>
      <c r="C88" t="s">
        <v>26</v>
      </c>
      <c r="D88">
        <v>-9945.48</v>
      </c>
      <c r="E88">
        <v>-7454.66</v>
      </c>
      <c r="F88">
        <v>-9945.48</v>
      </c>
      <c r="G88" t="s">
        <v>27</v>
      </c>
      <c r="H88">
        <v>1110402</v>
      </c>
      <c r="I88" t="s">
        <v>217</v>
      </c>
      <c r="J88" t="s">
        <v>29</v>
      </c>
      <c r="K88" t="s">
        <v>30</v>
      </c>
      <c r="M88" s="1">
        <v>45658</v>
      </c>
      <c r="O88" s="2">
        <v>3.0515046296296297E-2</v>
      </c>
      <c r="P88" t="s">
        <v>31</v>
      </c>
      <c r="Q88" s="2">
        <v>3.0515046296296297E-2</v>
      </c>
      <c r="V88" s="2">
        <v>3.0679398148148147E-2</v>
      </c>
      <c r="W88" t="s">
        <v>32</v>
      </c>
      <c r="X88" t="s">
        <v>30</v>
      </c>
    </row>
    <row r="89" spans="1:24" x14ac:dyDescent="0.3">
      <c r="A89" t="s">
        <v>219</v>
      </c>
      <c r="B89" t="s">
        <v>25</v>
      </c>
      <c r="C89" t="s">
        <v>26</v>
      </c>
      <c r="D89">
        <v>-332054.31</v>
      </c>
      <c r="E89">
        <v>-269204.34999999998</v>
      </c>
      <c r="F89">
        <v>-332054.31</v>
      </c>
      <c r="G89" t="s">
        <v>27</v>
      </c>
      <c r="H89">
        <v>1110700</v>
      </c>
      <c r="I89" t="s">
        <v>220</v>
      </c>
      <c r="J89" t="s">
        <v>29</v>
      </c>
      <c r="K89" t="s">
        <v>30</v>
      </c>
      <c r="M89" s="1">
        <v>45658</v>
      </c>
      <c r="O89" s="2">
        <v>3.0515046296296297E-2</v>
      </c>
      <c r="P89" t="s">
        <v>31</v>
      </c>
      <c r="Q89" s="2">
        <v>3.0515046296296297E-2</v>
      </c>
      <c r="V89" s="2">
        <v>3.0679398148148147E-2</v>
      </c>
      <c r="W89" t="s">
        <v>32</v>
      </c>
      <c r="X89" t="s">
        <v>30</v>
      </c>
    </row>
    <row r="90" spans="1:24" x14ac:dyDescent="0.3">
      <c r="A90" t="s">
        <v>221</v>
      </c>
      <c r="B90" t="s">
        <v>25</v>
      </c>
      <c r="C90" t="s">
        <v>26</v>
      </c>
      <c r="D90">
        <v>1422216.27</v>
      </c>
      <c r="E90">
        <v>1065038.18</v>
      </c>
      <c r="F90">
        <v>1422216.27</v>
      </c>
      <c r="G90" t="s">
        <v>27</v>
      </c>
      <c r="H90">
        <v>1125100</v>
      </c>
      <c r="I90" t="s">
        <v>222</v>
      </c>
      <c r="J90" t="s">
        <v>29</v>
      </c>
      <c r="K90" t="s">
        <v>30</v>
      </c>
      <c r="M90" s="1">
        <v>45658</v>
      </c>
      <c r="O90" s="2">
        <v>3.0515046296296297E-2</v>
      </c>
      <c r="P90" t="s">
        <v>31</v>
      </c>
      <c r="Q90" s="2">
        <v>3.0515046296296297E-2</v>
      </c>
      <c r="V90" s="2">
        <v>3.0679398148148147E-2</v>
      </c>
      <c r="W90" t="s">
        <v>32</v>
      </c>
      <c r="X90" t="s">
        <v>30</v>
      </c>
    </row>
    <row r="91" spans="1:24" x14ac:dyDescent="0.3">
      <c r="A91" t="s">
        <v>223</v>
      </c>
      <c r="B91" t="s">
        <v>25</v>
      </c>
      <c r="C91" t="s">
        <v>26</v>
      </c>
      <c r="D91">
        <v>245818</v>
      </c>
      <c r="E91">
        <v>186480.05</v>
      </c>
      <c r="F91">
        <v>245818</v>
      </c>
      <c r="G91" t="s">
        <v>27</v>
      </c>
      <c r="H91">
        <v>1125102</v>
      </c>
      <c r="I91" t="s">
        <v>222</v>
      </c>
      <c r="J91" t="s">
        <v>29</v>
      </c>
      <c r="K91" t="s">
        <v>30</v>
      </c>
      <c r="M91" s="1">
        <v>45658</v>
      </c>
      <c r="O91" s="2">
        <v>3.0515046296296297E-2</v>
      </c>
      <c r="P91" t="s">
        <v>31</v>
      </c>
      <c r="Q91" s="2">
        <v>3.0515046296296297E-2</v>
      </c>
      <c r="V91" s="2">
        <v>3.0679398148148147E-2</v>
      </c>
      <c r="W91" t="s">
        <v>32</v>
      </c>
      <c r="X91" t="s">
        <v>30</v>
      </c>
    </row>
    <row r="92" spans="1:24" x14ac:dyDescent="0.3">
      <c r="A92" t="s">
        <v>224</v>
      </c>
      <c r="B92" t="s">
        <v>25</v>
      </c>
      <c r="C92" t="s">
        <v>26</v>
      </c>
      <c r="D92">
        <v>615719.23</v>
      </c>
      <c r="E92">
        <v>454911.72</v>
      </c>
      <c r="F92">
        <v>615719.23</v>
      </c>
      <c r="G92" t="s">
        <v>27</v>
      </c>
      <c r="H92">
        <v>1200000</v>
      </c>
      <c r="I92" t="s">
        <v>225</v>
      </c>
      <c r="J92" t="s">
        <v>29</v>
      </c>
      <c r="K92" t="s">
        <v>30</v>
      </c>
      <c r="M92" s="1">
        <v>45658</v>
      </c>
      <c r="O92" s="2">
        <v>3.0515046296296297E-2</v>
      </c>
      <c r="P92" t="s">
        <v>31</v>
      </c>
      <c r="Q92" s="2">
        <v>3.0515046296296297E-2</v>
      </c>
      <c r="V92" s="2">
        <v>3.0679398148148147E-2</v>
      </c>
      <c r="W92" t="s">
        <v>32</v>
      </c>
      <c r="X92" t="s">
        <v>30</v>
      </c>
    </row>
    <row r="93" spans="1:24" x14ac:dyDescent="0.3">
      <c r="A93" t="s">
        <v>226</v>
      </c>
      <c r="B93" t="s">
        <v>25</v>
      </c>
      <c r="C93" t="s">
        <v>26</v>
      </c>
      <c r="D93">
        <v>27874.62</v>
      </c>
      <c r="E93">
        <v>20523.21</v>
      </c>
      <c r="F93">
        <v>27874.62</v>
      </c>
      <c r="G93" t="s">
        <v>27</v>
      </c>
      <c r="H93">
        <v>1210000</v>
      </c>
      <c r="I93" t="s">
        <v>227</v>
      </c>
      <c r="J93" t="s">
        <v>29</v>
      </c>
      <c r="K93" t="s">
        <v>30</v>
      </c>
      <c r="M93" s="1">
        <v>45658</v>
      </c>
      <c r="O93" s="2">
        <v>3.0515046296296297E-2</v>
      </c>
      <c r="P93" t="s">
        <v>31</v>
      </c>
      <c r="Q93" s="2">
        <v>3.0515046296296297E-2</v>
      </c>
      <c r="R93" t="s">
        <v>61</v>
      </c>
      <c r="S93" t="s">
        <v>62</v>
      </c>
      <c r="V93" s="2">
        <v>3.0679398148148147E-2</v>
      </c>
      <c r="W93" t="s">
        <v>32</v>
      </c>
      <c r="X93" t="s">
        <v>30</v>
      </c>
    </row>
    <row r="94" spans="1:24" x14ac:dyDescent="0.3">
      <c r="A94" t="s">
        <v>228</v>
      </c>
      <c r="B94" t="s">
        <v>25</v>
      </c>
      <c r="C94" t="s">
        <v>26</v>
      </c>
      <c r="D94">
        <v>-9458.49</v>
      </c>
      <c r="E94">
        <v>-6963.99</v>
      </c>
      <c r="F94">
        <v>-9458.49</v>
      </c>
      <c r="G94" t="s">
        <v>27</v>
      </c>
      <c r="H94">
        <v>1210000</v>
      </c>
      <c r="I94" t="s">
        <v>227</v>
      </c>
      <c r="J94" t="s">
        <v>29</v>
      </c>
      <c r="K94" t="s">
        <v>30</v>
      </c>
      <c r="M94" s="1">
        <v>45658</v>
      </c>
      <c r="O94" s="2">
        <v>3.0515046296296297E-2</v>
      </c>
      <c r="P94" t="s">
        <v>31</v>
      </c>
      <c r="Q94" s="2">
        <v>3.0515046296296297E-2</v>
      </c>
      <c r="R94" t="s">
        <v>64</v>
      </c>
      <c r="S94" t="s">
        <v>65</v>
      </c>
      <c r="V94" s="2">
        <v>3.0679398148148147E-2</v>
      </c>
      <c r="W94" t="s">
        <v>32</v>
      </c>
      <c r="X94" t="s">
        <v>30</v>
      </c>
    </row>
    <row r="95" spans="1:24" x14ac:dyDescent="0.3">
      <c r="A95" t="s">
        <v>229</v>
      </c>
      <c r="B95" t="s">
        <v>25</v>
      </c>
      <c r="C95" t="s">
        <v>26</v>
      </c>
      <c r="D95">
        <v>11116.45</v>
      </c>
      <c r="E95">
        <v>8184.69</v>
      </c>
      <c r="F95">
        <v>11116.45</v>
      </c>
      <c r="G95" t="s">
        <v>27</v>
      </c>
      <c r="H95">
        <v>1210000</v>
      </c>
      <c r="I95" t="s">
        <v>227</v>
      </c>
      <c r="J95" t="s">
        <v>29</v>
      </c>
      <c r="K95" t="s">
        <v>30</v>
      </c>
      <c r="M95" s="1">
        <v>45658</v>
      </c>
      <c r="O95" s="2">
        <v>3.0515046296296297E-2</v>
      </c>
      <c r="P95" t="s">
        <v>31</v>
      </c>
      <c r="Q95" s="2">
        <v>3.0515046296296297E-2</v>
      </c>
      <c r="R95" t="s">
        <v>67</v>
      </c>
      <c r="S95" t="s">
        <v>68</v>
      </c>
      <c r="V95" s="2">
        <v>3.0679398148148147E-2</v>
      </c>
      <c r="W95" t="s">
        <v>32</v>
      </c>
      <c r="X95" t="s">
        <v>30</v>
      </c>
    </row>
    <row r="96" spans="1:24" x14ac:dyDescent="0.3">
      <c r="A96" t="s">
        <v>230</v>
      </c>
      <c r="B96" t="s">
        <v>25</v>
      </c>
      <c r="C96" t="s">
        <v>26</v>
      </c>
      <c r="D96">
        <v>2070.9</v>
      </c>
      <c r="E96">
        <v>1524.74</v>
      </c>
      <c r="F96">
        <v>2070.9</v>
      </c>
      <c r="G96" t="s">
        <v>27</v>
      </c>
      <c r="H96">
        <v>1210000</v>
      </c>
      <c r="I96" t="s">
        <v>227</v>
      </c>
      <c r="J96" t="s">
        <v>29</v>
      </c>
      <c r="K96" t="s">
        <v>30</v>
      </c>
      <c r="M96" s="1">
        <v>45658</v>
      </c>
      <c r="O96" s="2">
        <v>3.0515046296296297E-2</v>
      </c>
      <c r="P96" t="s">
        <v>31</v>
      </c>
      <c r="Q96" s="2">
        <v>3.0515046296296297E-2</v>
      </c>
      <c r="R96" t="s">
        <v>70</v>
      </c>
      <c r="S96" t="s">
        <v>71</v>
      </c>
      <c r="V96" s="2">
        <v>3.0679398148148147E-2</v>
      </c>
      <c r="W96" t="s">
        <v>32</v>
      </c>
      <c r="X96" t="s">
        <v>30</v>
      </c>
    </row>
    <row r="97" spans="1:24" x14ac:dyDescent="0.3">
      <c r="A97" t="s">
        <v>231</v>
      </c>
      <c r="B97" t="s">
        <v>25</v>
      </c>
      <c r="C97" t="s">
        <v>26</v>
      </c>
      <c r="D97">
        <v>31950.79</v>
      </c>
      <c r="E97">
        <v>23524.36</v>
      </c>
      <c r="F97">
        <v>31950.79</v>
      </c>
      <c r="G97" t="s">
        <v>27</v>
      </c>
      <c r="H97">
        <v>1210000</v>
      </c>
      <c r="I97" t="s">
        <v>227</v>
      </c>
      <c r="J97" t="s">
        <v>29</v>
      </c>
      <c r="K97" t="s">
        <v>30</v>
      </c>
      <c r="M97" s="1">
        <v>45658</v>
      </c>
      <c r="O97" s="2">
        <v>3.0515046296296297E-2</v>
      </c>
      <c r="P97" t="s">
        <v>31</v>
      </c>
      <c r="Q97" s="2">
        <v>3.0515046296296297E-2</v>
      </c>
      <c r="R97" t="s">
        <v>73</v>
      </c>
      <c r="S97" t="s">
        <v>74</v>
      </c>
      <c r="V97" s="2">
        <v>3.0679398148148147E-2</v>
      </c>
      <c r="W97" t="s">
        <v>32</v>
      </c>
      <c r="X97" t="s">
        <v>30</v>
      </c>
    </row>
    <row r="98" spans="1:24" x14ac:dyDescent="0.3">
      <c r="A98" t="s">
        <v>232</v>
      </c>
      <c r="B98" t="s">
        <v>25</v>
      </c>
      <c r="C98" t="s">
        <v>26</v>
      </c>
      <c r="D98">
        <v>-3685.11</v>
      </c>
      <c r="E98">
        <v>-2713.23</v>
      </c>
      <c r="F98">
        <v>-3685.11</v>
      </c>
      <c r="G98" t="s">
        <v>27</v>
      </c>
      <c r="H98">
        <v>1210000</v>
      </c>
      <c r="I98" t="s">
        <v>227</v>
      </c>
      <c r="J98" t="s">
        <v>29</v>
      </c>
      <c r="K98" t="s">
        <v>30</v>
      </c>
      <c r="M98" s="1">
        <v>45658</v>
      </c>
      <c r="O98" s="2">
        <v>3.0515046296296297E-2</v>
      </c>
      <c r="P98" t="s">
        <v>31</v>
      </c>
      <c r="Q98" s="2">
        <v>3.0515046296296297E-2</v>
      </c>
      <c r="R98" t="s">
        <v>200</v>
      </c>
      <c r="S98" t="s">
        <v>201</v>
      </c>
      <c r="V98" s="2">
        <v>3.0679398148148147E-2</v>
      </c>
      <c r="W98" t="s">
        <v>32</v>
      </c>
      <c r="X98" t="s">
        <v>30</v>
      </c>
    </row>
    <row r="99" spans="1:24" x14ac:dyDescent="0.3">
      <c r="A99" t="s">
        <v>233</v>
      </c>
      <c r="B99" t="s">
        <v>25</v>
      </c>
      <c r="C99" t="s">
        <v>26</v>
      </c>
      <c r="D99">
        <v>20705.18</v>
      </c>
      <c r="E99">
        <v>15244.57</v>
      </c>
      <c r="F99">
        <v>20705.18</v>
      </c>
      <c r="G99" t="s">
        <v>27</v>
      </c>
      <c r="H99">
        <v>1210000</v>
      </c>
      <c r="I99" t="s">
        <v>227</v>
      </c>
      <c r="J99" t="s">
        <v>29</v>
      </c>
      <c r="K99" t="s">
        <v>30</v>
      </c>
      <c r="M99" s="1">
        <v>45658</v>
      </c>
      <c r="O99" s="2">
        <v>3.0515046296296297E-2</v>
      </c>
      <c r="P99" t="s">
        <v>31</v>
      </c>
      <c r="Q99" s="2">
        <v>3.0515046296296297E-2</v>
      </c>
      <c r="R99" t="s">
        <v>234</v>
      </c>
      <c r="S99" t="s">
        <v>235</v>
      </c>
      <c r="V99" s="2">
        <v>3.0679398148148147E-2</v>
      </c>
      <c r="W99" t="s">
        <v>32</v>
      </c>
      <c r="X99" t="s">
        <v>30</v>
      </c>
    </row>
    <row r="100" spans="1:24" x14ac:dyDescent="0.3">
      <c r="A100" t="s">
        <v>236</v>
      </c>
      <c r="B100" t="s">
        <v>25</v>
      </c>
      <c r="C100" t="s">
        <v>26</v>
      </c>
      <c r="D100">
        <v>17027.849999999999</v>
      </c>
      <c r="E100">
        <v>12537.07</v>
      </c>
      <c r="F100">
        <v>17027.849999999999</v>
      </c>
      <c r="G100" t="s">
        <v>27</v>
      </c>
      <c r="H100">
        <v>1210000</v>
      </c>
      <c r="I100" t="s">
        <v>227</v>
      </c>
      <c r="J100" t="s">
        <v>29</v>
      </c>
      <c r="K100" t="s">
        <v>30</v>
      </c>
      <c r="M100" s="1">
        <v>45658</v>
      </c>
      <c r="O100" s="2">
        <v>3.0515046296296297E-2</v>
      </c>
      <c r="P100" t="s">
        <v>31</v>
      </c>
      <c r="Q100" s="2">
        <v>3.0515046296296297E-2</v>
      </c>
      <c r="R100" t="s">
        <v>237</v>
      </c>
      <c r="S100" t="s">
        <v>238</v>
      </c>
      <c r="V100" s="2">
        <v>3.0679398148148147E-2</v>
      </c>
      <c r="W100" t="s">
        <v>32</v>
      </c>
      <c r="X100" t="s">
        <v>30</v>
      </c>
    </row>
    <row r="101" spans="1:24" x14ac:dyDescent="0.3">
      <c r="A101" t="s">
        <v>239</v>
      </c>
      <c r="B101" t="s">
        <v>25</v>
      </c>
      <c r="C101" t="s">
        <v>26</v>
      </c>
      <c r="D101">
        <v>23476.92</v>
      </c>
      <c r="E101">
        <v>17285.32</v>
      </c>
      <c r="F101">
        <v>23476.92</v>
      </c>
      <c r="G101" t="s">
        <v>27</v>
      </c>
      <c r="H101">
        <v>1210000</v>
      </c>
      <c r="I101" t="s">
        <v>227</v>
      </c>
      <c r="J101" t="s">
        <v>29</v>
      </c>
      <c r="K101" t="s">
        <v>30</v>
      </c>
      <c r="M101" s="1">
        <v>45658</v>
      </c>
      <c r="O101" s="2">
        <v>3.0515046296296297E-2</v>
      </c>
      <c r="P101" t="s">
        <v>31</v>
      </c>
      <c r="Q101" s="2">
        <v>3.0515046296296297E-2</v>
      </c>
      <c r="R101" t="s">
        <v>85</v>
      </c>
      <c r="S101" t="s">
        <v>86</v>
      </c>
      <c r="V101" s="2">
        <v>3.0679398148148147E-2</v>
      </c>
      <c r="W101" t="s">
        <v>32</v>
      </c>
      <c r="X101" t="s">
        <v>30</v>
      </c>
    </row>
    <row r="102" spans="1:24" x14ac:dyDescent="0.3">
      <c r="A102" t="s">
        <v>240</v>
      </c>
      <c r="B102" t="s">
        <v>25</v>
      </c>
      <c r="C102" t="s">
        <v>26</v>
      </c>
      <c r="D102">
        <v>101.15</v>
      </c>
      <c r="E102">
        <v>74.47</v>
      </c>
      <c r="F102">
        <v>101.15</v>
      </c>
      <c r="G102" t="s">
        <v>27</v>
      </c>
      <c r="H102">
        <v>1210000</v>
      </c>
      <c r="I102" t="s">
        <v>227</v>
      </c>
      <c r="J102" t="s">
        <v>29</v>
      </c>
      <c r="K102" t="s">
        <v>30</v>
      </c>
      <c r="M102" s="1">
        <v>45658</v>
      </c>
      <c r="O102" s="2">
        <v>3.0515046296296297E-2</v>
      </c>
      <c r="P102" t="s">
        <v>31</v>
      </c>
      <c r="Q102" s="2">
        <v>3.0515046296296297E-2</v>
      </c>
      <c r="R102" t="s">
        <v>88</v>
      </c>
      <c r="S102" t="s">
        <v>89</v>
      </c>
      <c r="V102" s="2">
        <v>3.0679398148148147E-2</v>
      </c>
      <c r="W102" t="s">
        <v>32</v>
      </c>
      <c r="X102" t="s">
        <v>30</v>
      </c>
    </row>
    <row r="103" spans="1:24" x14ac:dyDescent="0.3">
      <c r="A103" t="s">
        <v>241</v>
      </c>
      <c r="B103" t="s">
        <v>25</v>
      </c>
      <c r="C103" t="s">
        <v>26</v>
      </c>
      <c r="D103">
        <v>598.83000000000004</v>
      </c>
      <c r="E103">
        <v>440.9</v>
      </c>
      <c r="F103">
        <v>598.83000000000004</v>
      </c>
      <c r="G103" t="s">
        <v>27</v>
      </c>
      <c r="H103">
        <v>1210000</v>
      </c>
      <c r="I103" t="s">
        <v>227</v>
      </c>
      <c r="J103" t="s">
        <v>29</v>
      </c>
      <c r="K103" t="s">
        <v>30</v>
      </c>
      <c r="M103" s="1">
        <v>45658</v>
      </c>
      <c r="O103" s="2">
        <v>3.0515046296296297E-2</v>
      </c>
      <c r="P103" t="s">
        <v>31</v>
      </c>
      <c r="Q103" s="2">
        <v>3.0515046296296297E-2</v>
      </c>
      <c r="R103" t="s">
        <v>91</v>
      </c>
      <c r="S103" t="s">
        <v>92</v>
      </c>
      <c r="V103" s="2">
        <v>3.0679398148148147E-2</v>
      </c>
      <c r="W103" t="s">
        <v>32</v>
      </c>
      <c r="X103" t="s">
        <v>30</v>
      </c>
    </row>
    <row r="104" spans="1:24" x14ac:dyDescent="0.3">
      <c r="A104" t="s">
        <v>242</v>
      </c>
      <c r="B104" t="s">
        <v>25</v>
      </c>
      <c r="C104" t="s">
        <v>26</v>
      </c>
      <c r="D104">
        <v>6617.82</v>
      </c>
      <c r="E104">
        <v>4872.49</v>
      </c>
      <c r="F104">
        <v>6617.82</v>
      </c>
      <c r="G104" t="s">
        <v>27</v>
      </c>
      <c r="H104">
        <v>1210000</v>
      </c>
      <c r="I104" t="s">
        <v>227</v>
      </c>
      <c r="J104" t="s">
        <v>29</v>
      </c>
      <c r="K104" t="s">
        <v>30</v>
      </c>
      <c r="M104" s="1">
        <v>45658</v>
      </c>
      <c r="O104" s="2">
        <v>3.0515046296296297E-2</v>
      </c>
      <c r="P104" t="s">
        <v>31</v>
      </c>
      <c r="Q104" s="2">
        <v>3.0515046296296297E-2</v>
      </c>
      <c r="R104" t="s">
        <v>97</v>
      </c>
      <c r="S104" t="s">
        <v>98</v>
      </c>
      <c r="V104" s="2">
        <v>3.0679398148148147E-2</v>
      </c>
      <c r="W104" t="s">
        <v>32</v>
      </c>
      <c r="X104" t="s">
        <v>30</v>
      </c>
    </row>
    <row r="105" spans="1:24" x14ac:dyDescent="0.3">
      <c r="A105" t="s">
        <v>243</v>
      </c>
      <c r="B105" t="s">
        <v>25</v>
      </c>
      <c r="C105" t="s">
        <v>26</v>
      </c>
      <c r="D105">
        <v>40220.36</v>
      </c>
      <c r="E105">
        <v>29612.99</v>
      </c>
      <c r="F105">
        <v>40220.36</v>
      </c>
      <c r="G105" t="s">
        <v>27</v>
      </c>
      <c r="H105">
        <v>1210000</v>
      </c>
      <c r="I105" t="s">
        <v>227</v>
      </c>
      <c r="J105" t="s">
        <v>29</v>
      </c>
      <c r="K105" t="s">
        <v>30</v>
      </c>
      <c r="M105" s="1">
        <v>45658</v>
      </c>
      <c r="O105" s="2">
        <v>3.0515046296296297E-2</v>
      </c>
      <c r="P105" t="s">
        <v>31</v>
      </c>
      <c r="Q105" s="2">
        <v>3.0515046296296297E-2</v>
      </c>
      <c r="R105" t="s">
        <v>100</v>
      </c>
      <c r="S105" t="s">
        <v>101</v>
      </c>
      <c r="V105" s="2">
        <v>3.0679398148148147E-2</v>
      </c>
      <c r="W105" t="s">
        <v>32</v>
      </c>
      <c r="X105" t="s">
        <v>30</v>
      </c>
    </row>
    <row r="106" spans="1:24" x14ac:dyDescent="0.3">
      <c r="A106" t="s">
        <v>244</v>
      </c>
      <c r="B106" t="s">
        <v>25</v>
      </c>
      <c r="C106" t="s">
        <v>26</v>
      </c>
      <c r="D106">
        <v>-4096.63</v>
      </c>
      <c r="E106">
        <v>-3016.22</v>
      </c>
      <c r="F106">
        <v>-4096.63</v>
      </c>
      <c r="G106" t="s">
        <v>27</v>
      </c>
      <c r="H106">
        <v>1210000</v>
      </c>
      <c r="I106" t="s">
        <v>227</v>
      </c>
      <c r="J106" t="s">
        <v>29</v>
      </c>
      <c r="K106" t="s">
        <v>30</v>
      </c>
      <c r="M106" s="1">
        <v>45658</v>
      </c>
      <c r="O106" s="2">
        <v>3.0515046296296297E-2</v>
      </c>
      <c r="P106" t="s">
        <v>31</v>
      </c>
      <c r="Q106" s="2">
        <v>3.0515046296296297E-2</v>
      </c>
      <c r="R106" t="s">
        <v>103</v>
      </c>
      <c r="S106" t="s">
        <v>104</v>
      </c>
      <c r="V106" s="2">
        <v>3.0679398148148147E-2</v>
      </c>
      <c r="W106" t="s">
        <v>32</v>
      </c>
      <c r="X106" t="s">
        <v>30</v>
      </c>
    </row>
    <row r="107" spans="1:24" x14ac:dyDescent="0.3">
      <c r="A107" t="s">
        <v>245</v>
      </c>
      <c r="B107" t="s">
        <v>25</v>
      </c>
      <c r="C107" t="s">
        <v>26</v>
      </c>
      <c r="D107">
        <v>8059.83</v>
      </c>
      <c r="E107">
        <v>5934.2</v>
      </c>
      <c r="F107">
        <v>8059.83</v>
      </c>
      <c r="G107" t="s">
        <v>27</v>
      </c>
      <c r="H107">
        <v>1210000</v>
      </c>
      <c r="I107" t="s">
        <v>227</v>
      </c>
      <c r="J107" t="s">
        <v>29</v>
      </c>
      <c r="K107" t="s">
        <v>30</v>
      </c>
      <c r="M107" s="1">
        <v>45658</v>
      </c>
      <c r="O107" s="2">
        <v>3.0515046296296297E-2</v>
      </c>
      <c r="P107" t="s">
        <v>31</v>
      </c>
      <c r="Q107" s="2">
        <v>3.0515046296296297E-2</v>
      </c>
      <c r="R107" t="s">
        <v>106</v>
      </c>
      <c r="S107" t="s">
        <v>107</v>
      </c>
      <c r="V107" s="2">
        <v>3.0679398148148147E-2</v>
      </c>
      <c r="W107" t="s">
        <v>32</v>
      </c>
      <c r="X107" t="s">
        <v>30</v>
      </c>
    </row>
    <row r="108" spans="1:24" x14ac:dyDescent="0.3">
      <c r="A108" t="s">
        <v>246</v>
      </c>
      <c r="B108" t="s">
        <v>25</v>
      </c>
      <c r="C108" t="s">
        <v>26</v>
      </c>
      <c r="D108">
        <v>-10615.87</v>
      </c>
      <c r="E108">
        <v>-7816.16</v>
      </c>
      <c r="F108">
        <v>-10615.87</v>
      </c>
      <c r="G108" t="s">
        <v>27</v>
      </c>
      <c r="H108">
        <v>3103000</v>
      </c>
      <c r="I108" t="s">
        <v>191</v>
      </c>
      <c r="J108" t="s">
        <v>29</v>
      </c>
      <c r="K108" t="s">
        <v>30</v>
      </c>
      <c r="M108" s="1">
        <v>45658</v>
      </c>
      <c r="O108" s="2">
        <v>3.0515046296296297E-2</v>
      </c>
      <c r="P108" t="s">
        <v>31</v>
      </c>
      <c r="Q108" s="2">
        <v>3.0515046296296297E-2</v>
      </c>
      <c r="R108" t="s">
        <v>143</v>
      </c>
      <c r="S108" t="s">
        <v>144</v>
      </c>
      <c r="V108" s="2">
        <v>3.0679398148148147E-2</v>
      </c>
      <c r="W108" t="s">
        <v>32</v>
      </c>
      <c r="X108" t="s">
        <v>30</v>
      </c>
    </row>
    <row r="109" spans="1:24" x14ac:dyDescent="0.3">
      <c r="A109" t="s">
        <v>247</v>
      </c>
      <c r="B109" t="s">
        <v>25</v>
      </c>
      <c r="C109" t="s">
        <v>26</v>
      </c>
      <c r="D109">
        <v>-16.91</v>
      </c>
      <c r="E109">
        <v>-12.47</v>
      </c>
      <c r="F109">
        <v>-16.91</v>
      </c>
      <c r="G109" t="s">
        <v>27</v>
      </c>
      <c r="H109">
        <v>3103000</v>
      </c>
      <c r="I109" t="s">
        <v>191</v>
      </c>
      <c r="J109" t="s">
        <v>29</v>
      </c>
      <c r="K109" t="s">
        <v>30</v>
      </c>
      <c r="M109" s="1">
        <v>45658</v>
      </c>
      <c r="O109" s="2">
        <v>3.0515046296296297E-2</v>
      </c>
      <c r="P109" t="s">
        <v>31</v>
      </c>
      <c r="Q109" s="2">
        <v>3.0515046296296297E-2</v>
      </c>
      <c r="R109" t="s">
        <v>152</v>
      </c>
      <c r="S109" t="s">
        <v>153</v>
      </c>
      <c r="V109" s="2">
        <v>3.0679398148148147E-2</v>
      </c>
      <c r="W109" t="s">
        <v>32</v>
      </c>
      <c r="X109" t="s">
        <v>30</v>
      </c>
    </row>
    <row r="110" spans="1:24" x14ac:dyDescent="0.3">
      <c r="A110" t="s">
        <v>248</v>
      </c>
      <c r="B110" t="s">
        <v>25</v>
      </c>
      <c r="C110" t="s">
        <v>26</v>
      </c>
      <c r="D110">
        <v>-24817.02</v>
      </c>
      <c r="E110">
        <v>-18271.990000000002</v>
      </c>
      <c r="F110">
        <v>-24817.02</v>
      </c>
      <c r="G110" t="s">
        <v>27</v>
      </c>
      <c r="H110">
        <v>3103000</v>
      </c>
      <c r="I110" t="s">
        <v>191</v>
      </c>
      <c r="J110" t="s">
        <v>29</v>
      </c>
      <c r="K110" t="s">
        <v>30</v>
      </c>
      <c r="M110" s="1">
        <v>45658</v>
      </c>
      <c r="O110" s="2">
        <v>3.0515046296296297E-2</v>
      </c>
      <c r="P110" t="s">
        <v>31</v>
      </c>
      <c r="Q110" s="2">
        <v>3.0515046296296297E-2</v>
      </c>
      <c r="R110" t="s">
        <v>249</v>
      </c>
      <c r="S110" t="s">
        <v>250</v>
      </c>
      <c r="V110" s="2">
        <v>3.0679398148148147E-2</v>
      </c>
      <c r="W110" t="s">
        <v>32</v>
      </c>
      <c r="X110" t="s">
        <v>30</v>
      </c>
    </row>
    <row r="111" spans="1:24" x14ac:dyDescent="0.3">
      <c r="A111" t="s">
        <v>251</v>
      </c>
      <c r="B111" t="s">
        <v>25</v>
      </c>
      <c r="C111" t="s">
        <v>26</v>
      </c>
      <c r="D111">
        <v>0.01</v>
      </c>
      <c r="E111">
        <v>0</v>
      </c>
      <c r="F111">
        <v>0.01</v>
      </c>
      <c r="G111" t="s">
        <v>27</v>
      </c>
      <c r="H111">
        <v>3103000</v>
      </c>
      <c r="I111" t="s">
        <v>191</v>
      </c>
      <c r="J111" t="s">
        <v>29</v>
      </c>
      <c r="K111" t="s">
        <v>30</v>
      </c>
      <c r="M111" s="1">
        <v>45658</v>
      </c>
      <c r="O111" s="2">
        <v>3.0515046296296297E-2</v>
      </c>
      <c r="P111" t="s">
        <v>31</v>
      </c>
      <c r="Q111" s="2">
        <v>3.0515046296296297E-2</v>
      </c>
      <c r="R111" t="s">
        <v>252</v>
      </c>
      <c r="S111" t="s">
        <v>253</v>
      </c>
      <c r="V111" s="2">
        <v>3.0679398148148147E-2</v>
      </c>
      <c r="W111" t="s">
        <v>32</v>
      </c>
      <c r="X111" t="s">
        <v>30</v>
      </c>
    </row>
    <row r="112" spans="1:24" x14ac:dyDescent="0.3">
      <c r="A112" t="s">
        <v>254</v>
      </c>
      <c r="B112" t="s">
        <v>25</v>
      </c>
      <c r="C112" t="s">
        <v>26</v>
      </c>
      <c r="D112">
        <v>-90898.880000000005</v>
      </c>
      <c r="E112">
        <v>-66996.399999999994</v>
      </c>
      <c r="F112">
        <v>-90898.880000000005</v>
      </c>
      <c r="G112" t="s">
        <v>27</v>
      </c>
      <c r="H112">
        <v>3103000</v>
      </c>
      <c r="I112" t="s">
        <v>191</v>
      </c>
      <c r="J112" t="s">
        <v>29</v>
      </c>
      <c r="K112" t="s">
        <v>30</v>
      </c>
      <c r="M112" s="1">
        <v>45658</v>
      </c>
      <c r="O112" s="2">
        <v>3.0515046296296297E-2</v>
      </c>
      <c r="P112" t="s">
        <v>31</v>
      </c>
      <c r="Q112" s="2">
        <v>3.0515046296296297E-2</v>
      </c>
      <c r="R112" t="s">
        <v>255</v>
      </c>
      <c r="S112" t="s">
        <v>256</v>
      </c>
      <c r="V112" s="2">
        <v>3.0679398148148147E-2</v>
      </c>
      <c r="W112" t="s">
        <v>32</v>
      </c>
      <c r="X112" t="s">
        <v>30</v>
      </c>
    </row>
    <row r="113" spans="1:24" x14ac:dyDescent="0.3">
      <c r="A113" t="s">
        <v>257</v>
      </c>
      <c r="B113" t="s">
        <v>25</v>
      </c>
      <c r="C113" t="s">
        <v>26</v>
      </c>
      <c r="D113">
        <v>-0.01</v>
      </c>
      <c r="E113">
        <v>0</v>
      </c>
      <c r="F113">
        <v>-0.01</v>
      </c>
      <c r="G113" t="s">
        <v>27</v>
      </c>
      <c r="H113">
        <v>3103000</v>
      </c>
      <c r="I113" t="s">
        <v>191</v>
      </c>
      <c r="J113" t="s">
        <v>29</v>
      </c>
      <c r="K113" t="s">
        <v>30</v>
      </c>
      <c r="M113" s="1">
        <v>45658</v>
      </c>
      <c r="O113" s="2">
        <v>3.0515046296296297E-2</v>
      </c>
      <c r="P113" t="s">
        <v>31</v>
      </c>
      <c r="Q113" s="2">
        <v>3.0515046296296297E-2</v>
      </c>
      <c r="R113" t="s">
        <v>258</v>
      </c>
      <c r="S113" t="s">
        <v>259</v>
      </c>
      <c r="V113" s="2">
        <v>3.0679398148148147E-2</v>
      </c>
      <c r="W113" t="s">
        <v>32</v>
      </c>
      <c r="X113" t="s">
        <v>30</v>
      </c>
    </row>
    <row r="114" spans="1:24" x14ac:dyDescent="0.3">
      <c r="A114" t="s">
        <v>260</v>
      </c>
      <c r="B114" t="s">
        <v>25</v>
      </c>
      <c r="C114" t="s">
        <v>26</v>
      </c>
      <c r="D114">
        <v>-1055201.22</v>
      </c>
      <c r="E114">
        <v>-777408.67</v>
      </c>
      <c r="F114">
        <v>-1055201.22</v>
      </c>
      <c r="G114" t="s">
        <v>27</v>
      </c>
      <c r="H114">
        <v>3103000</v>
      </c>
      <c r="I114" t="s">
        <v>191</v>
      </c>
      <c r="J114" t="s">
        <v>29</v>
      </c>
      <c r="K114" t="s">
        <v>30</v>
      </c>
      <c r="M114" s="1">
        <v>45658</v>
      </c>
      <c r="O114" s="2">
        <v>3.0515046296296297E-2</v>
      </c>
      <c r="P114" t="s">
        <v>31</v>
      </c>
      <c r="Q114" s="2">
        <v>3.0515046296296297E-2</v>
      </c>
      <c r="R114" t="s">
        <v>261</v>
      </c>
      <c r="S114" t="s">
        <v>262</v>
      </c>
      <c r="V114" s="2">
        <v>3.0679398148148147E-2</v>
      </c>
      <c r="W114" t="s">
        <v>32</v>
      </c>
      <c r="X114" t="s">
        <v>30</v>
      </c>
    </row>
    <row r="115" spans="1:24" x14ac:dyDescent="0.3">
      <c r="A115" t="s">
        <v>263</v>
      </c>
      <c r="B115" t="s">
        <v>25</v>
      </c>
      <c r="C115" t="s">
        <v>26</v>
      </c>
      <c r="D115">
        <v>-0.01</v>
      </c>
      <c r="E115">
        <v>-0.01</v>
      </c>
      <c r="F115">
        <v>-0.01</v>
      </c>
      <c r="G115" t="s">
        <v>38</v>
      </c>
      <c r="H115">
        <v>3203010</v>
      </c>
      <c r="I115" t="s">
        <v>129</v>
      </c>
      <c r="J115" t="s">
        <v>29</v>
      </c>
      <c r="K115" t="s">
        <v>30</v>
      </c>
      <c r="M115" s="1">
        <v>45658</v>
      </c>
      <c r="O115" s="2">
        <v>3.0515046296296297E-2</v>
      </c>
      <c r="P115" t="s">
        <v>31</v>
      </c>
      <c r="Q115" s="2">
        <v>3.0515046296296297E-2</v>
      </c>
      <c r="R115" t="s">
        <v>192</v>
      </c>
      <c r="S115" t="s">
        <v>193</v>
      </c>
      <c r="V115" s="2">
        <v>3.0679398148148147E-2</v>
      </c>
      <c r="W115" t="s">
        <v>32</v>
      </c>
      <c r="X115" t="s">
        <v>30</v>
      </c>
    </row>
    <row r="116" spans="1:24" x14ac:dyDescent="0.3">
      <c r="A116" t="s">
        <v>264</v>
      </c>
      <c r="B116" t="s">
        <v>25</v>
      </c>
      <c r="C116" t="s">
        <v>26</v>
      </c>
      <c r="D116">
        <v>-33805</v>
      </c>
      <c r="E116">
        <v>-24889.56</v>
      </c>
      <c r="F116">
        <v>-33805</v>
      </c>
      <c r="G116" t="s">
        <v>38</v>
      </c>
      <c r="H116">
        <v>3203010</v>
      </c>
      <c r="I116" t="s">
        <v>129</v>
      </c>
      <c r="J116" t="s">
        <v>29</v>
      </c>
      <c r="K116" t="s">
        <v>30</v>
      </c>
      <c r="M116" s="1">
        <v>45658</v>
      </c>
      <c r="O116" s="2">
        <v>3.0515046296296297E-2</v>
      </c>
      <c r="P116" t="s">
        <v>31</v>
      </c>
      <c r="Q116" s="2">
        <v>3.0515046296296297E-2</v>
      </c>
      <c r="R116" t="s">
        <v>61</v>
      </c>
      <c r="S116" t="s">
        <v>62</v>
      </c>
      <c r="V116" s="2">
        <v>3.0679398148148147E-2</v>
      </c>
      <c r="W116" t="s">
        <v>32</v>
      </c>
      <c r="X116" t="s">
        <v>30</v>
      </c>
    </row>
    <row r="117" spans="1:24" x14ac:dyDescent="0.3">
      <c r="A117" t="s">
        <v>265</v>
      </c>
      <c r="B117" t="s">
        <v>25</v>
      </c>
      <c r="C117" t="s">
        <v>26</v>
      </c>
      <c r="D117">
        <v>0.01</v>
      </c>
      <c r="E117">
        <v>0.01</v>
      </c>
      <c r="F117">
        <v>0.01</v>
      </c>
      <c r="G117" t="s">
        <v>38</v>
      </c>
      <c r="H117">
        <v>3203010</v>
      </c>
      <c r="I117" t="s">
        <v>129</v>
      </c>
      <c r="J117" t="s">
        <v>29</v>
      </c>
      <c r="K117" t="s">
        <v>30</v>
      </c>
      <c r="M117" s="1">
        <v>45658</v>
      </c>
      <c r="O117" s="2">
        <v>3.0515046296296297E-2</v>
      </c>
      <c r="P117" t="s">
        <v>31</v>
      </c>
      <c r="Q117" s="2">
        <v>3.0515046296296297E-2</v>
      </c>
      <c r="R117" t="s">
        <v>73</v>
      </c>
      <c r="S117" t="s">
        <v>74</v>
      </c>
      <c r="V117" s="2">
        <v>3.0679398148148147E-2</v>
      </c>
      <c r="W117" t="s">
        <v>32</v>
      </c>
      <c r="X117" t="s">
        <v>30</v>
      </c>
    </row>
    <row r="118" spans="1:24" x14ac:dyDescent="0.3">
      <c r="A118" t="s">
        <v>266</v>
      </c>
      <c r="B118" t="s">
        <v>25</v>
      </c>
      <c r="C118" t="s">
        <v>26</v>
      </c>
      <c r="D118">
        <v>0.01</v>
      </c>
      <c r="E118">
        <v>0.01</v>
      </c>
      <c r="F118">
        <v>0.01</v>
      </c>
      <c r="G118" t="s">
        <v>38</v>
      </c>
      <c r="H118">
        <v>3203010</v>
      </c>
      <c r="I118" t="s">
        <v>129</v>
      </c>
      <c r="J118" t="s">
        <v>29</v>
      </c>
      <c r="K118" t="s">
        <v>30</v>
      </c>
      <c r="M118" s="1">
        <v>45658</v>
      </c>
      <c r="O118" s="2">
        <v>3.0515046296296297E-2</v>
      </c>
      <c r="P118" t="s">
        <v>31</v>
      </c>
      <c r="Q118" s="2">
        <v>3.0515046296296297E-2</v>
      </c>
      <c r="R118" t="s">
        <v>237</v>
      </c>
      <c r="S118" t="s">
        <v>238</v>
      </c>
      <c r="V118" s="2">
        <v>3.0679398148148147E-2</v>
      </c>
      <c r="W118" t="s">
        <v>32</v>
      </c>
      <c r="X118" t="s">
        <v>30</v>
      </c>
    </row>
    <row r="119" spans="1:24" x14ac:dyDescent="0.3">
      <c r="A119" t="s">
        <v>267</v>
      </c>
      <c r="B119" t="s">
        <v>25</v>
      </c>
      <c r="C119" t="s">
        <v>26</v>
      </c>
      <c r="D119">
        <v>0.03</v>
      </c>
      <c r="E119">
        <v>0.02</v>
      </c>
      <c r="F119">
        <v>0.03</v>
      </c>
      <c r="G119" t="s">
        <v>38</v>
      </c>
      <c r="H119">
        <v>3203010</v>
      </c>
      <c r="I119" t="s">
        <v>129</v>
      </c>
      <c r="J119" t="s">
        <v>29</v>
      </c>
      <c r="K119" t="s">
        <v>30</v>
      </c>
      <c r="M119" s="1">
        <v>45658</v>
      </c>
      <c r="O119" s="2">
        <v>3.0515046296296297E-2</v>
      </c>
      <c r="P119" t="s">
        <v>31</v>
      </c>
      <c r="Q119" s="2">
        <v>3.0515046296296297E-2</v>
      </c>
      <c r="R119" t="s">
        <v>85</v>
      </c>
      <c r="S119" t="s">
        <v>86</v>
      </c>
      <c r="V119" s="2">
        <v>3.0679398148148147E-2</v>
      </c>
      <c r="W119" t="s">
        <v>32</v>
      </c>
      <c r="X119" t="s">
        <v>30</v>
      </c>
    </row>
    <row r="120" spans="1:24" x14ac:dyDescent="0.3">
      <c r="A120" t="s">
        <v>268</v>
      </c>
      <c r="B120" t="s">
        <v>25</v>
      </c>
      <c r="C120" t="s">
        <v>26</v>
      </c>
      <c r="D120">
        <v>0.01</v>
      </c>
      <c r="E120">
        <v>0.01</v>
      </c>
      <c r="F120">
        <v>0.01</v>
      </c>
      <c r="G120" t="s">
        <v>38</v>
      </c>
      <c r="H120">
        <v>3203010</v>
      </c>
      <c r="I120" t="s">
        <v>129</v>
      </c>
      <c r="J120" t="s">
        <v>29</v>
      </c>
      <c r="K120" t="s">
        <v>30</v>
      </c>
      <c r="M120" s="1">
        <v>45658</v>
      </c>
      <c r="O120" s="2">
        <v>3.0515046296296297E-2</v>
      </c>
      <c r="P120" t="s">
        <v>31</v>
      </c>
      <c r="Q120" s="2">
        <v>3.0515046296296297E-2</v>
      </c>
      <c r="R120" t="s">
        <v>97</v>
      </c>
      <c r="S120" t="s">
        <v>98</v>
      </c>
      <c r="V120" s="2">
        <v>3.0679398148148147E-2</v>
      </c>
      <c r="W120" t="s">
        <v>32</v>
      </c>
      <c r="X120" t="s">
        <v>30</v>
      </c>
    </row>
    <row r="121" spans="1:24" x14ac:dyDescent="0.3">
      <c r="A121" t="s">
        <v>269</v>
      </c>
      <c r="B121" t="s">
        <v>25</v>
      </c>
      <c r="C121" t="s">
        <v>26</v>
      </c>
      <c r="D121">
        <v>-287.14</v>
      </c>
      <c r="E121">
        <v>-211.41</v>
      </c>
      <c r="F121">
        <v>-287.14</v>
      </c>
      <c r="G121" t="s">
        <v>38</v>
      </c>
      <c r="H121">
        <v>3203010</v>
      </c>
      <c r="I121" t="s">
        <v>129</v>
      </c>
      <c r="J121" t="s">
        <v>29</v>
      </c>
      <c r="K121" t="s">
        <v>30</v>
      </c>
      <c r="M121" s="1">
        <v>45658</v>
      </c>
      <c r="O121" s="2">
        <v>3.0515046296296297E-2</v>
      </c>
      <c r="P121" t="s">
        <v>31</v>
      </c>
      <c r="Q121" s="2">
        <v>3.0515046296296297E-2</v>
      </c>
      <c r="R121" t="s">
        <v>100</v>
      </c>
      <c r="S121" t="s">
        <v>101</v>
      </c>
      <c r="V121" s="2">
        <v>3.0679398148148147E-2</v>
      </c>
      <c r="W121" t="s">
        <v>32</v>
      </c>
      <c r="X121" t="s">
        <v>30</v>
      </c>
    </row>
    <row r="122" spans="1:24" x14ac:dyDescent="0.3">
      <c r="A122" t="s">
        <v>270</v>
      </c>
      <c r="B122" t="s">
        <v>25</v>
      </c>
      <c r="C122" t="s">
        <v>26</v>
      </c>
      <c r="D122">
        <v>-0.01</v>
      </c>
      <c r="E122">
        <v>-0.01</v>
      </c>
      <c r="F122">
        <v>-0.01</v>
      </c>
      <c r="G122" t="s">
        <v>38</v>
      </c>
      <c r="H122">
        <v>3203010</v>
      </c>
      <c r="I122" t="s">
        <v>129</v>
      </c>
      <c r="J122" t="s">
        <v>29</v>
      </c>
      <c r="K122" t="s">
        <v>30</v>
      </c>
      <c r="M122" s="1">
        <v>45658</v>
      </c>
      <c r="O122" s="2">
        <v>3.0515046296296297E-2</v>
      </c>
      <c r="P122" t="s">
        <v>31</v>
      </c>
      <c r="Q122" s="2">
        <v>3.0515046296296297E-2</v>
      </c>
      <c r="R122" t="s">
        <v>109</v>
      </c>
      <c r="S122" t="s">
        <v>110</v>
      </c>
      <c r="V122" s="2">
        <v>3.0679398148148147E-2</v>
      </c>
      <c r="W122" t="s">
        <v>32</v>
      </c>
      <c r="X122" t="s">
        <v>30</v>
      </c>
    </row>
    <row r="123" spans="1:24" x14ac:dyDescent="0.3">
      <c r="A123" t="s">
        <v>271</v>
      </c>
      <c r="B123" t="s">
        <v>25</v>
      </c>
      <c r="C123" t="s">
        <v>26</v>
      </c>
      <c r="D123">
        <v>-0.45</v>
      </c>
      <c r="E123">
        <v>-0.33</v>
      </c>
      <c r="F123">
        <v>-0.45</v>
      </c>
      <c r="G123" t="s">
        <v>38</v>
      </c>
      <c r="H123">
        <v>3203010</v>
      </c>
      <c r="I123" t="s">
        <v>129</v>
      </c>
      <c r="J123" t="s">
        <v>29</v>
      </c>
      <c r="K123" t="s">
        <v>30</v>
      </c>
      <c r="M123" s="1">
        <v>45658</v>
      </c>
      <c r="O123" s="2">
        <v>3.0515046296296297E-2</v>
      </c>
      <c r="P123" t="s">
        <v>31</v>
      </c>
      <c r="Q123" s="2">
        <v>3.0515046296296297E-2</v>
      </c>
      <c r="R123" t="s">
        <v>143</v>
      </c>
      <c r="S123" t="s">
        <v>144</v>
      </c>
      <c r="V123" s="2">
        <v>3.0679398148148147E-2</v>
      </c>
      <c r="W123" t="s">
        <v>32</v>
      </c>
      <c r="X123" t="s">
        <v>30</v>
      </c>
    </row>
    <row r="124" spans="1:24" x14ac:dyDescent="0.3">
      <c r="A124" t="s">
        <v>272</v>
      </c>
      <c r="B124" t="s">
        <v>25</v>
      </c>
      <c r="C124" t="s">
        <v>26</v>
      </c>
      <c r="D124">
        <v>0.01</v>
      </c>
      <c r="E124">
        <v>0.01</v>
      </c>
      <c r="F124">
        <v>0.01</v>
      </c>
      <c r="G124" t="s">
        <v>38</v>
      </c>
      <c r="H124">
        <v>3203010</v>
      </c>
      <c r="I124" t="s">
        <v>129</v>
      </c>
      <c r="J124" t="s">
        <v>29</v>
      </c>
      <c r="K124" t="s">
        <v>30</v>
      </c>
      <c r="M124" s="1">
        <v>45658</v>
      </c>
      <c r="O124" s="2">
        <v>3.0515046296296297E-2</v>
      </c>
      <c r="P124" t="s">
        <v>31</v>
      </c>
      <c r="Q124" s="2">
        <v>3.0515046296296297E-2</v>
      </c>
      <c r="R124" t="s">
        <v>155</v>
      </c>
      <c r="S124" t="s">
        <v>156</v>
      </c>
      <c r="V124" s="2">
        <v>3.0679398148148147E-2</v>
      </c>
      <c r="W124" t="s">
        <v>32</v>
      </c>
      <c r="X124" t="s">
        <v>30</v>
      </c>
    </row>
    <row r="125" spans="1:24" x14ac:dyDescent="0.3">
      <c r="A125" t="s">
        <v>273</v>
      </c>
      <c r="B125" t="s">
        <v>25</v>
      </c>
      <c r="C125" t="s">
        <v>26</v>
      </c>
      <c r="D125">
        <v>0.01</v>
      </c>
      <c r="E125">
        <v>0.01</v>
      </c>
      <c r="F125">
        <v>0.01</v>
      </c>
      <c r="G125" t="s">
        <v>38</v>
      </c>
      <c r="H125">
        <v>3203010</v>
      </c>
      <c r="I125" t="s">
        <v>129</v>
      </c>
      <c r="J125" t="s">
        <v>29</v>
      </c>
      <c r="K125" t="s">
        <v>30</v>
      </c>
      <c r="M125" s="1">
        <v>45658</v>
      </c>
      <c r="O125" s="2">
        <v>3.0515046296296297E-2</v>
      </c>
      <c r="P125" t="s">
        <v>31</v>
      </c>
      <c r="Q125" s="2">
        <v>3.0515046296296297E-2</v>
      </c>
      <c r="R125" t="s">
        <v>158</v>
      </c>
      <c r="S125" t="s">
        <v>159</v>
      </c>
      <c r="V125" s="2">
        <v>3.0679398148148147E-2</v>
      </c>
      <c r="W125" t="s">
        <v>32</v>
      </c>
      <c r="X125" t="s">
        <v>30</v>
      </c>
    </row>
    <row r="126" spans="1:24" x14ac:dyDescent="0.3">
      <c r="A126" t="s">
        <v>274</v>
      </c>
      <c r="B126" t="s">
        <v>25</v>
      </c>
      <c r="C126" t="s">
        <v>26</v>
      </c>
      <c r="D126">
        <v>0.2</v>
      </c>
      <c r="E126">
        <v>0.15</v>
      </c>
      <c r="F126">
        <v>0.2</v>
      </c>
      <c r="G126" t="s">
        <v>38</v>
      </c>
      <c r="H126">
        <v>3203010</v>
      </c>
      <c r="I126" t="s">
        <v>129</v>
      </c>
      <c r="J126" t="s">
        <v>29</v>
      </c>
      <c r="K126" t="s">
        <v>30</v>
      </c>
      <c r="M126" s="1">
        <v>45658</v>
      </c>
      <c r="O126" s="2">
        <v>3.0515046296296297E-2</v>
      </c>
      <c r="P126" t="s">
        <v>31</v>
      </c>
      <c r="Q126" s="2">
        <v>3.0515046296296297E-2</v>
      </c>
      <c r="R126" t="s">
        <v>275</v>
      </c>
      <c r="S126" t="s">
        <v>276</v>
      </c>
      <c r="V126" s="2">
        <v>3.0679398148148147E-2</v>
      </c>
      <c r="W126" t="s">
        <v>32</v>
      </c>
      <c r="X126" t="s">
        <v>30</v>
      </c>
    </row>
    <row r="127" spans="1:24" x14ac:dyDescent="0.3">
      <c r="A127" t="s">
        <v>277</v>
      </c>
      <c r="B127" t="s">
        <v>25</v>
      </c>
      <c r="C127" t="s">
        <v>26</v>
      </c>
      <c r="D127">
        <v>0.01</v>
      </c>
      <c r="E127">
        <v>0.01</v>
      </c>
      <c r="F127">
        <v>0.01</v>
      </c>
      <c r="G127" t="s">
        <v>38</v>
      </c>
      <c r="H127">
        <v>3203010</v>
      </c>
      <c r="I127" t="s">
        <v>129</v>
      </c>
      <c r="J127" t="s">
        <v>29</v>
      </c>
      <c r="K127" t="s">
        <v>30</v>
      </c>
      <c r="M127" s="1">
        <v>45658</v>
      </c>
      <c r="O127" s="2">
        <v>3.0515046296296297E-2</v>
      </c>
      <c r="P127" t="s">
        <v>31</v>
      </c>
      <c r="Q127" s="2">
        <v>3.0515046296296297E-2</v>
      </c>
      <c r="R127" t="s">
        <v>258</v>
      </c>
      <c r="S127" t="s">
        <v>259</v>
      </c>
      <c r="V127" s="2">
        <v>3.0679398148148147E-2</v>
      </c>
      <c r="W127" t="s">
        <v>32</v>
      </c>
      <c r="X127" t="s">
        <v>30</v>
      </c>
    </row>
    <row r="128" spans="1:24" x14ac:dyDescent="0.3">
      <c r="A128" t="s">
        <v>278</v>
      </c>
      <c r="B128" t="s">
        <v>25</v>
      </c>
      <c r="C128" t="s">
        <v>26</v>
      </c>
      <c r="D128">
        <v>-13566089.99</v>
      </c>
      <c r="E128">
        <v>-9984777.0299999993</v>
      </c>
      <c r="F128">
        <v>-13566089.99</v>
      </c>
      <c r="G128" t="s">
        <v>27</v>
      </c>
      <c r="H128">
        <v>3302000</v>
      </c>
      <c r="I128" t="s">
        <v>279</v>
      </c>
      <c r="J128" t="s">
        <v>29</v>
      </c>
      <c r="K128" t="s">
        <v>30</v>
      </c>
      <c r="M128" s="1">
        <v>45658</v>
      </c>
      <c r="O128" s="2">
        <v>3.0515046296296297E-2</v>
      </c>
      <c r="P128" t="s">
        <v>31</v>
      </c>
      <c r="Q128" s="2">
        <v>3.0515046296296297E-2</v>
      </c>
      <c r="V128" s="2">
        <v>3.0679398148148147E-2</v>
      </c>
      <c r="W128" t="s">
        <v>32</v>
      </c>
      <c r="X128" t="s">
        <v>30</v>
      </c>
    </row>
    <row r="129" spans="1:24" x14ac:dyDescent="0.3">
      <c r="A129" t="s">
        <v>280</v>
      </c>
      <c r="B129" t="s">
        <v>25</v>
      </c>
      <c r="C129" t="s">
        <v>26</v>
      </c>
      <c r="D129">
        <v>1350000</v>
      </c>
      <c r="E129">
        <v>985689.25</v>
      </c>
      <c r="F129">
        <v>1350000</v>
      </c>
      <c r="G129" t="s">
        <v>27</v>
      </c>
      <c r="H129">
        <v>1100100</v>
      </c>
      <c r="I129" t="s">
        <v>281</v>
      </c>
      <c r="J129" t="s">
        <v>29</v>
      </c>
      <c r="K129" t="s">
        <v>30</v>
      </c>
      <c r="M129" s="1">
        <v>45658</v>
      </c>
      <c r="O129" s="2">
        <v>3.0515046296296297E-2</v>
      </c>
      <c r="P129" t="s">
        <v>31</v>
      </c>
      <c r="Q129" s="2">
        <v>3.0515046296296297E-2</v>
      </c>
      <c r="V129" s="2">
        <v>3.0679398148148147E-2</v>
      </c>
      <c r="W129" t="s">
        <v>32</v>
      </c>
      <c r="X129" t="s">
        <v>30</v>
      </c>
    </row>
    <row r="130" spans="1:24" x14ac:dyDescent="0.3">
      <c r="A130" t="s">
        <v>282</v>
      </c>
      <c r="B130" t="s">
        <v>25</v>
      </c>
      <c r="C130" t="s">
        <v>26</v>
      </c>
      <c r="D130">
        <v>37000</v>
      </c>
      <c r="E130">
        <v>27537.96</v>
      </c>
      <c r="F130">
        <v>37000</v>
      </c>
      <c r="G130" t="s">
        <v>27</v>
      </c>
      <c r="H130">
        <v>1100301</v>
      </c>
      <c r="I130" t="s">
        <v>28</v>
      </c>
      <c r="J130" t="s">
        <v>29</v>
      </c>
      <c r="K130" t="s">
        <v>30</v>
      </c>
      <c r="M130" s="1">
        <v>45658</v>
      </c>
      <c r="O130" s="2">
        <v>3.0515046296296297E-2</v>
      </c>
      <c r="P130" t="s">
        <v>31</v>
      </c>
      <c r="Q130" s="2">
        <v>3.0515046296296297E-2</v>
      </c>
      <c r="V130" s="2">
        <v>3.0679398148148147E-2</v>
      </c>
      <c r="W130" t="s">
        <v>32</v>
      </c>
      <c r="X130" t="s">
        <v>30</v>
      </c>
    </row>
    <row r="131" spans="1:24" x14ac:dyDescent="0.3">
      <c r="A131" t="s">
        <v>283</v>
      </c>
      <c r="B131" t="s">
        <v>25</v>
      </c>
      <c r="C131" t="s">
        <v>26</v>
      </c>
      <c r="D131">
        <v>-927840.95</v>
      </c>
      <c r="E131">
        <v>-727618.16</v>
      </c>
      <c r="F131">
        <v>-927840.95</v>
      </c>
      <c r="G131" t="s">
        <v>27</v>
      </c>
      <c r="H131">
        <v>1110300</v>
      </c>
      <c r="I131" t="s">
        <v>217</v>
      </c>
      <c r="J131" t="s">
        <v>29</v>
      </c>
      <c r="K131" t="s">
        <v>30</v>
      </c>
      <c r="M131" s="1">
        <v>45658</v>
      </c>
      <c r="O131" s="2">
        <v>3.0515046296296297E-2</v>
      </c>
      <c r="P131" t="s">
        <v>31</v>
      </c>
      <c r="Q131" s="2">
        <v>3.0515046296296297E-2</v>
      </c>
      <c r="V131" s="2">
        <v>3.0679398148148147E-2</v>
      </c>
      <c r="W131" t="s">
        <v>32</v>
      </c>
      <c r="X131" t="s">
        <v>30</v>
      </c>
    </row>
    <row r="132" spans="1:24" x14ac:dyDescent="0.3">
      <c r="A132" t="s">
        <v>284</v>
      </c>
      <c r="B132" t="s">
        <v>25</v>
      </c>
      <c r="C132" t="s">
        <v>26</v>
      </c>
      <c r="D132">
        <v>-233354.39</v>
      </c>
      <c r="E132">
        <v>-174946.04</v>
      </c>
      <c r="F132">
        <v>-233354.39</v>
      </c>
      <c r="G132" t="s">
        <v>27</v>
      </c>
      <c r="H132">
        <v>1110302</v>
      </c>
      <c r="I132" t="s">
        <v>217</v>
      </c>
      <c r="J132" t="s">
        <v>29</v>
      </c>
      <c r="K132" t="s">
        <v>30</v>
      </c>
      <c r="M132" s="1">
        <v>45658</v>
      </c>
      <c r="O132" s="2">
        <v>3.0515046296296297E-2</v>
      </c>
      <c r="P132" t="s">
        <v>31</v>
      </c>
      <c r="Q132" s="2">
        <v>3.0515046296296297E-2</v>
      </c>
      <c r="V132" s="2">
        <v>3.0679398148148147E-2</v>
      </c>
      <c r="W132" t="s">
        <v>32</v>
      </c>
      <c r="X132" t="s">
        <v>30</v>
      </c>
    </row>
    <row r="133" spans="1:24" x14ac:dyDescent="0.3">
      <c r="A133" t="s">
        <v>285</v>
      </c>
      <c r="B133" t="s">
        <v>25</v>
      </c>
      <c r="C133" t="s">
        <v>26</v>
      </c>
      <c r="D133">
        <v>143852.93</v>
      </c>
      <c r="E133">
        <v>103625.51</v>
      </c>
      <c r="F133">
        <v>143852.93</v>
      </c>
      <c r="G133" t="s">
        <v>27</v>
      </c>
      <c r="H133">
        <v>1125201</v>
      </c>
      <c r="I133" t="s">
        <v>286</v>
      </c>
      <c r="J133" t="s">
        <v>29</v>
      </c>
      <c r="K133" t="s">
        <v>30</v>
      </c>
      <c r="M133" s="1">
        <v>45658</v>
      </c>
      <c r="O133" s="2">
        <v>3.0515046296296297E-2</v>
      </c>
      <c r="P133" t="s">
        <v>31</v>
      </c>
      <c r="Q133" s="2">
        <v>3.0515046296296297E-2</v>
      </c>
      <c r="V133" s="2">
        <v>3.0679398148148147E-2</v>
      </c>
      <c r="W133" t="s">
        <v>32</v>
      </c>
      <c r="X133" t="s">
        <v>30</v>
      </c>
    </row>
    <row r="134" spans="1:24" x14ac:dyDescent="0.3">
      <c r="A134" t="s">
        <v>287</v>
      </c>
      <c r="B134" t="s">
        <v>25</v>
      </c>
      <c r="C134" t="s">
        <v>26</v>
      </c>
      <c r="D134">
        <v>-67072.34</v>
      </c>
      <c r="E134">
        <v>-49646.44</v>
      </c>
      <c r="F134">
        <v>-67072.34</v>
      </c>
      <c r="G134" t="s">
        <v>27</v>
      </c>
      <c r="H134">
        <v>1125201</v>
      </c>
      <c r="I134" t="s">
        <v>286</v>
      </c>
      <c r="J134" t="s">
        <v>29</v>
      </c>
      <c r="K134" t="s">
        <v>30</v>
      </c>
      <c r="M134" s="1">
        <v>45658</v>
      </c>
      <c r="O134" s="2">
        <v>3.0515046296296297E-2</v>
      </c>
      <c r="P134" t="s">
        <v>31</v>
      </c>
      <c r="Q134" s="2">
        <v>3.0515046296296297E-2</v>
      </c>
      <c r="V134" s="2">
        <v>3.0679398148148147E-2</v>
      </c>
      <c r="W134" t="s">
        <v>32</v>
      </c>
      <c r="X134" t="s">
        <v>30</v>
      </c>
    </row>
    <row r="135" spans="1:24" x14ac:dyDescent="0.3">
      <c r="A135" t="s">
        <v>288</v>
      </c>
      <c r="B135" t="s">
        <v>25</v>
      </c>
      <c r="C135" t="s">
        <v>26</v>
      </c>
      <c r="D135">
        <v>25073474.59</v>
      </c>
      <c r="E135">
        <v>22514693.129999999</v>
      </c>
      <c r="F135">
        <v>25073474.59</v>
      </c>
      <c r="G135" t="s">
        <v>27</v>
      </c>
      <c r="H135">
        <v>1130000</v>
      </c>
      <c r="I135" t="s">
        <v>289</v>
      </c>
      <c r="J135" t="s">
        <v>29</v>
      </c>
      <c r="K135" t="s">
        <v>30</v>
      </c>
      <c r="M135" s="1">
        <v>45658</v>
      </c>
      <c r="O135" s="2">
        <v>3.0515046296296297E-2</v>
      </c>
      <c r="P135" t="s">
        <v>31</v>
      </c>
      <c r="Q135" s="2">
        <v>3.0515046296296297E-2</v>
      </c>
      <c r="V135" s="2">
        <v>3.0679398148148147E-2</v>
      </c>
      <c r="W135" t="s">
        <v>32</v>
      </c>
      <c r="X135" t="s">
        <v>30</v>
      </c>
    </row>
    <row r="136" spans="1:24" x14ac:dyDescent="0.3">
      <c r="A136" t="s">
        <v>290</v>
      </c>
      <c r="B136" t="s">
        <v>25</v>
      </c>
      <c r="C136" t="s">
        <v>26</v>
      </c>
      <c r="D136">
        <v>594104.81000000006</v>
      </c>
      <c r="E136">
        <v>475078</v>
      </c>
      <c r="F136">
        <v>594104.81000000006</v>
      </c>
      <c r="G136" t="s">
        <v>27</v>
      </c>
      <c r="H136">
        <v>1131020</v>
      </c>
      <c r="I136" t="s">
        <v>291</v>
      </c>
      <c r="J136" t="s">
        <v>29</v>
      </c>
      <c r="K136" t="s">
        <v>30</v>
      </c>
      <c r="M136" s="1">
        <v>45658</v>
      </c>
      <c r="O136" s="2">
        <v>3.0515046296296297E-2</v>
      </c>
      <c r="P136" t="s">
        <v>31</v>
      </c>
      <c r="Q136" s="2">
        <v>3.0515046296296297E-2</v>
      </c>
      <c r="V136" s="2">
        <v>3.0679398148148147E-2</v>
      </c>
      <c r="W136" t="s">
        <v>32</v>
      </c>
      <c r="X136" t="s">
        <v>30</v>
      </c>
    </row>
    <row r="137" spans="1:24" x14ac:dyDescent="0.3">
      <c r="A137" t="s">
        <v>292</v>
      </c>
      <c r="B137" t="s">
        <v>25</v>
      </c>
      <c r="C137" t="s">
        <v>26</v>
      </c>
      <c r="D137">
        <v>135820</v>
      </c>
      <c r="E137">
        <v>100000</v>
      </c>
      <c r="F137">
        <v>135820</v>
      </c>
      <c r="G137" t="s">
        <v>38</v>
      </c>
      <c r="H137">
        <v>3123701</v>
      </c>
      <c r="I137" t="s">
        <v>293</v>
      </c>
      <c r="J137" t="s">
        <v>29</v>
      </c>
      <c r="K137" t="s">
        <v>30</v>
      </c>
      <c r="M137" s="1">
        <v>45658</v>
      </c>
      <c r="O137" s="2">
        <v>3.0515046296296297E-2</v>
      </c>
      <c r="P137" t="s">
        <v>31</v>
      </c>
      <c r="Q137" s="2">
        <v>3.0515046296296297E-2</v>
      </c>
      <c r="T137" t="s">
        <v>294</v>
      </c>
      <c r="V137" s="2">
        <v>3.0679398148148147E-2</v>
      </c>
      <c r="W137" t="s">
        <v>32</v>
      </c>
      <c r="X137" t="s">
        <v>30</v>
      </c>
    </row>
    <row r="138" spans="1:24" x14ac:dyDescent="0.3">
      <c r="A138" t="s">
        <v>295</v>
      </c>
      <c r="B138" t="s">
        <v>25</v>
      </c>
      <c r="C138" t="s">
        <v>26</v>
      </c>
      <c r="D138">
        <v>135820</v>
      </c>
      <c r="E138">
        <v>100000</v>
      </c>
      <c r="F138">
        <v>135820</v>
      </c>
      <c r="G138" t="s">
        <v>38</v>
      </c>
      <c r="H138">
        <v>3123701</v>
      </c>
      <c r="I138" t="s">
        <v>293</v>
      </c>
      <c r="J138" t="s">
        <v>29</v>
      </c>
      <c r="K138" t="s">
        <v>30</v>
      </c>
      <c r="M138" s="1">
        <v>45658</v>
      </c>
      <c r="O138" s="2">
        <v>3.0515046296296297E-2</v>
      </c>
      <c r="P138" t="s">
        <v>31</v>
      </c>
      <c r="Q138" s="2">
        <v>3.0515046296296297E-2</v>
      </c>
      <c r="T138" t="s">
        <v>296</v>
      </c>
      <c r="V138" s="2">
        <v>3.0679398148148147E-2</v>
      </c>
      <c r="W138" t="s">
        <v>32</v>
      </c>
      <c r="X138" t="s">
        <v>30</v>
      </c>
    </row>
    <row r="139" spans="1:24" x14ac:dyDescent="0.3">
      <c r="A139" t="s">
        <v>297</v>
      </c>
      <c r="B139" t="s">
        <v>25</v>
      </c>
      <c r="C139" t="s">
        <v>26</v>
      </c>
      <c r="D139">
        <v>67910</v>
      </c>
      <c r="E139">
        <v>50000</v>
      </c>
      <c r="F139">
        <v>67910</v>
      </c>
      <c r="G139" t="s">
        <v>38</v>
      </c>
      <c r="H139">
        <v>3123701</v>
      </c>
      <c r="I139" t="s">
        <v>293</v>
      </c>
      <c r="J139" t="s">
        <v>29</v>
      </c>
      <c r="K139" t="s">
        <v>30</v>
      </c>
      <c r="M139" s="1">
        <v>45658</v>
      </c>
      <c r="O139" s="2">
        <v>3.0515046296296297E-2</v>
      </c>
      <c r="P139" t="s">
        <v>31</v>
      </c>
      <c r="Q139" s="2">
        <v>3.0515046296296297E-2</v>
      </c>
      <c r="T139" t="s">
        <v>298</v>
      </c>
      <c r="V139" s="2">
        <v>3.0679398148148147E-2</v>
      </c>
      <c r="W139" t="s">
        <v>32</v>
      </c>
      <c r="X139" t="s">
        <v>30</v>
      </c>
    </row>
    <row r="140" spans="1:24" x14ac:dyDescent="0.3">
      <c r="A140" t="s">
        <v>299</v>
      </c>
      <c r="B140" t="s">
        <v>25</v>
      </c>
      <c r="C140" t="s">
        <v>26</v>
      </c>
      <c r="D140">
        <v>135820</v>
      </c>
      <c r="E140">
        <v>100000</v>
      </c>
      <c r="F140">
        <v>135820</v>
      </c>
      <c r="G140" t="s">
        <v>38</v>
      </c>
      <c r="H140">
        <v>3123701</v>
      </c>
      <c r="I140" t="s">
        <v>293</v>
      </c>
      <c r="J140" t="s">
        <v>29</v>
      </c>
      <c r="K140" t="s">
        <v>30</v>
      </c>
      <c r="M140" s="1">
        <v>45658</v>
      </c>
      <c r="O140" s="2">
        <v>3.0515046296296297E-2</v>
      </c>
      <c r="P140" t="s">
        <v>31</v>
      </c>
      <c r="Q140" s="2">
        <v>3.0515046296296297E-2</v>
      </c>
      <c r="T140" t="s">
        <v>300</v>
      </c>
      <c r="V140" s="2">
        <v>3.0679398148148147E-2</v>
      </c>
      <c r="W140" t="s">
        <v>32</v>
      </c>
      <c r="X140" t="s">
        <v>30</v>
      </c>
    </row>
    <row r="141" spans="1:24" x14ac:dyDescent="0.3">
      <c r="A141" t="s">
        <v>301</v>
      </c>
      <c r="B141" t="s">
        <v>25</v>
      </c>
      <c r="C141" t="s">
        <v>26</v>
      </c>
      <c r="D141">
        <v>-1015883.35</v>
      </c>
      <c r="E141">
        <v>-740419.79</v>
      </c>
      <c r="F141">
        <v>-1015883.35</v>
      </c>
      <c r="G141" t="s">
        <v>27</v>
      </c>
      <c r="H141">
        <v>3209000</v>
      </c>
      <c r="I141" t="s">
        <v>302</v>
      </c>
      <c r="J141" t="s">
        <v>29</v>
      </c>
      <c r="K141" t="s">
        <v>30</v>
      </c>
      <c r="M141" s="1">
        <v>45658</v>
      </c>
      <c r="O141" s="2">
        <v>3.0515046296296297E-2</v>
      </c>
      <c r="P141" t="s">
        <v>31</v>
      </c>
      <c r="Q141" s="2">
        <v>3.0515046296296297E-2</v>
      </c>
      <c r="V141" s="2">
        <v>3.0679398148148147E-2</v>
      </c>
      <c r="W141" t="s">
        <v>32</v>
      </c>
      <c r="X141" t="s">
        <v>30</v>
      </c>
    </row>
    <row r="142" spans="1:24" x14ac:dyDescent="0.3">
      <c r="A142" t="s">
        <v>303</v>
      </c>
      <c r="B142" t="s">
        <v>25</v>
      </c>
      <c r="C142" t="s">
        <v>26</v>
      </c>
      <c r="D142">
        <v>-18980.8</v>
      </c>
      <c r="E142">
        <v>-14090.28</v>
      </c>
      <c r="F142">
        <v>-18980.8</v>
      </c>
      <c r="G142" t="s">
        <v>27</v>
      </c>
      <c r="H142">
        <v>3209000</v>
      </c>
      <c r="I142" t="s">
        <v>302</v>
      </c>
      <c r="J142" t="s">
        <v>29</v>
      </c>
      <c r="K142" t="s">
        <v>30</v>
      </c>
      <c r="M142" s="1">
        <v>45658</v>
      </c>
      <c r="O142" s="2">
        <v>3.0515046296296297E-2</v>
      </c>
      <c r="P142" t="s">
        <v>31</v>
      </c>
      <c r="Q142" s="2">
        <v>3.0515046296296297E-2</v>
      </c>
      <c r="V142" s="2">
        <v>3.0679398148148147E-2</v>
      </c>
      <c r="W142" t="s">
        <v>32</v>
      </c>
      <c r="X142" t="s">
        <v>30</v>
      </c>
    </row>
    <row r="143" spans="1:24" x14ac:dyDescent="0.3">
      <c r="A143" t="s">
        <v>304</v>
      </c>
      <c r="B143" t="s">
        <v>25</v>
      </c>
      <c r="C143" t="s">
        <v>26</v>
      </c>
      <c r="D143">
        <v>206160.9</v>
      </c>
      <c r="E143">
        <v>141469.43</v>
      </c>
      <c r="F143">
        <v>206160.9</v>
      </c>
      <c r="G143" t="s">
        <v>27</v>
      </c>
      <c r="H143">
        <v>3209000</v>
      </c>
      <c r="I143" t="s">
        <v>302</v>
      </c>
      <c r="J143" t="s">
        <v>29</v>
      </c>
      <c r="K143" t="s">
        <v>30</v>
      </c>
      <c r="M143" s="1">
        <v>45658</v>
      </c>
      <c r="O143" s="2">
        <v>3.0515046296296297E-2</v>
      </c>
      <c r="P143" t="s">
        <v>31</v>
      </c>
      <c r="Q143" s="2">
        <v>3.0515046296296297E-2</v>
      </c>
      <c r="V143" s="2">
        <v>3.0679398148148147E-2</v>
      </c>
      <c r="W143" t="s">
        <v>32</v>
      </c>
      <c r="X143" t="s">
        <v>30</v>
      </c>
    </row>
    <row r="144" spans="1:24" x14ac:dyDescent="0.3">
      <c r="A144" t="s">
        <v>305</v>
      </c>
      <c r="B144" t="s">
        <v>43</v>
      </c>
      <c r="C144" t="s">
        <v>26</v>
      </c>
      <c r="D144">
        <v>-37000</v>
      </c>
      <c r="E144">
        <v>-27537.96</v>
      </c>
      <c r="F144">
        <v>-37000</v>
      </c>
      <c r="G144" t="s">
        <v>27</v>
      </c>
      <c r="H144">
        <v>1100301</v>
      </c>
      <c r="I144" t="s">
        <v>28</v>
      </c>
      <c r="J144" t="s">
        <v>44</v>
      </c>
      <c r="K144" t="s">
        <v>45</v>
      </c>
      <c r="M144" s="1">
        <v>45658</v>
      </c>
      <c r="O144" s="2">
        <v>3.0515046296296297E-2</v>
      </c>
      <c r="P144" t="s">
        <v>31</v>
      </c>
      <c r="Q144" s="2">
        <v>3.0515046296296297E-2</v>
      </c>
      <c r="V144" s="2">
        <v>4.1190972222222226E-2</v>
      </c>
      <c r="W144" t="s">
        <v>32</v>
      </c>
      <c r="X144" t="s">
        <v>306</v>
      </c>
    </row>
    <row r="145" spans="1:24" x14ac:dyDescent="0.3">
      <c r="A145" t="s">
        <v>307</v>
      </c>
      <c r="B145" t="s">
        <v>43</v>
      </c>
      <c r="C145" t="s">
        <v>26</v>
      </c>
      <c r="D145">
        <v>233354.39</v>
      </c>
      <c r="E145">
        <v>174946.04</v>
      </c>
      <c r="F145">
        <v>233354.39</v>
      </c>
      <c r="G145" t="s">
        <v>27</v>
      </c>
      <c r="H145">
        <v>1110302</v>
      </c>
      <c r="I145" t="s">
        <v>217</v>
      </c>
      <c r="J145" t="s">
        <v>44</v>
      </c>
      <c r="K145" t="s">
        <v>45</v>
      </c>
      <c r="M145" s="1">
        <v>45658</v>
      </c>
      <c r="O145" s="2">
        <v>3.0515046296296297E-2</v>
      </c>
      <c r="P145" t="s">
        <v>31</v>
      </c>
      <c r="Q145" s="2">
        <v>3.0515046296296297E-2</v>
      </c>
      <c r="V145" s="2">
        <v>3.0679398148148147E-2</v>
      </c>
      <c r="W145" t="s">
        <v>32</v>
      </c>
      <c r="X145" t="s">
        <v>308</v>
      </c>
    </row>
    <row r="146" spans="1:24" x14ac:dyDescent="0.3">
      <c r="A146" t="s">
        <v>309</v>
      </c>
      <c r="B146" t="s">
        <v>43</v>
      </c>
      <c r="C146" t="s">
        <v>26</v>
      </c>
      <c r="D146">
        <v>-233354.39</v>
      </c>
      <c r="E146">
        <v>-174946.04</v>
      </c>
      <c r="F146">
        <v>-233354.39</v>
      </c>
      <c r="G146" t="s">
        <v>27</v>
      </c>
      <c r="H146">
        <v>1110300</v>
      </c>
      <c r="I146" t="s">
        <v>217</v>
      </c>
      <c r="J146" t="s">
        <v>44</v>
      </c>
      <c r="K146" t="s">
        <v>45</v>
      </c>
      <c r="M146" s="1">
        <v>45658</v>
      </c>
      <c r="O146" s="2">
        <v>3.0515046296296297E-2</v>
      </c>
      <c r="P146" t="s">
        <v>31</v>
      </c>
      <c r="Q146" s="2">
        <v>3.0515046296296297E-2</v>
      </c>
      <c r="V146" s="2">
        <v>3.0679398148148147E-2</v>
      </c>
      <c r="W146" t="s">
        <v>32</v>
      </c>
      <c r="X146" t="s">
        <v>310</v>
      </c>
    </row>
    <row r="147" spans="1:24" x14ac:dyDescent="0.3">
      <c r="A147" t="s">
        <v>311</v>
      </c>
      <c r="B147" t="s">
        <v>25</v>
      </c>
      <c r="C147" t="s">
        <v>26</v>
      </c>
      <c r="D147">
        <v>333454.57</v>
      </c>
      <c r="E147">
        <v>280107</v>
      </c>
      <c r="F147">
        <v>333454.57</v>
      </c>
      <c r="G147" t="s">
        <v>27</v>
      </c>
      <c r="H147">
        <v>1100400</v>
      </c>
      <c r="I147" t="s">
        <v>28</v>
      </c>
      <c r="J147" t="s">
        <v>29</v>
      </c>
      <c r="K147" t="s">
        <v>30</v>
      </c>
      <c r="M147" s="1">
        <v>45658</v>
      </c>
      <c r="O147" s="2">
        <v>3.0515046296296297E-2</v>
      </c>
      <c r="P147" t="s">
        <v>31</v>
      </c>
      <c r="Q147" s="2">
        <v>3.0515046296296297E-2</v>
      </c>
      <c r="V147" s="2">
        <v>3.0679398148148147E-2</v>
      </c>
      <c r="W147" t="s">
        <v>32</v>
      </c>
      <c r="X147" t="s">
        <v>30</v>
      </c>
    </row>
    <row r="148" spans="1:24" x14ac:dyDescent="0.3">
      <c r="A148" t="s">
        <v>312</v>
      </c>
      <c r="B148" t="s">
        <v>25</v>
      </c>
      <c r="C148" t="s">
        <v>26</v>
      </c>
      <c r="D148">
        <v>38769</v>
      </c>
      <c r="E148">
        <v>29182.03</v>
      </c>
      <c r="F148">
        <v>38769</v>
      </c>
      <c r="G148" t="s">
        <v>27</v>
      </c>
      <c r="H148">
        <v>1100601</v>
      </c>
      <c r="I148" t="s">
        <v>168</v>
      </c>
      <c r="J148" t="s">
        <v>29</v>
      </c>
      <c r="K148" t="s">
        <v>30</v>
      </c>
      <c r="M148" s="1">
        <v>45658</v>
      </c>
      <c r="O148" s="2">
        <v>3.0515046296296297E-2</v>
      </c>
      <c r="P148" t="s">
        <v>31</v>
      </c>
      <c r="Q148" s="2">
        <v>3.0515046296296297E-2</v>
      </c>
      <c r="V148" s="2">
        <v>3.0679398148148147E-2</v>
      </c>
      <c r="W148" t="s">
        <v>32</v>
      </c>
      <c r="X148" t="s">
        <v>30</v>
      </c>
    </row>
    <row r="149" spans="1:24" x14ac:dyDescent="0.3">
      <c r="A149" t="s">
        <v>313</v>
      </c>
      <c r="B149" t="s">
        <v>25</v>
      </c>
      <c r="C149" t="s">
        <v>26</v>
      </c>
      <c r="D149">
        <v>-11224.11</v>
      </c>
      <c r="E149">
        <v>-8410.33</v>
      </c>
      <c r="F149">
        <v>-11224.11</v>
      </c>
      <c r="G149" t="s">
        <v>27</v>
      </c>
      <c r="H149">
        <v>1110202</v>
      </c>
      <c r="I149" t="s">
        <v>112</v>
      </c>
      <c r="J149" t="s">
        <v>29</v>
      </c>
      <c r="K149" t="s">
        <v>30</v>
      </c>
      <c r="M149" s="1">
        <v>45658</v>
      </c>
      <c r="O149" s="2">
        <v>3.0515046296296297E-2</v>
      </c>
      <c r="P149" t="s">
        <v>31</v>
      </c>
      <c r="Q149" s="2">
        <v>3.0515046296296297E-2</v>
      </c>
      <c r="V149" s="2">
        <v>3.0679398148148147E-2</v>
      </c>
      <c r="W149" t="s">
        <v>32</v>
      </c>
      <c r="X149" t="s">
        <v>30</v>
      </c>
    </row>
    <row r="150" spans="1:24" x14ac:dyDescent="0.3">
      <c r="A150" t="s">
        <v>314</v>
      </c>
      <c r="B150" t="s">
        <v>25</v>
      </c>
      <c r="C150" t="s">
        <v>26</v>
      </c>
      <c r="D150">
        <v>-80365.55</v>
      </c>
      <c r="E150">
        <v>-60255.34</v>
      </c>
      <c r="F150">
        <v>-80365.55</v>
      </c>
      <c r="G150" t="s">
        <v>27</v>
      </c>
      <c r="H150">
        <v>1110602</v>
      </c>
      <c r="I150" t="s">
        <v>36</v>
      </c>
      <c r="J150" t="s">
        <v>29</v>
      </c>
      <c r="K150" t="s">
        <v>30</v>
      </c>
      <c r="M150" s="1">
        <v>45658</v>
      </c>
      <c r="O150" s="2">
        <v>3.0515046296296297E-2</v>
      </c>
      <c r="P150" t="s">
        <v>31</v>
      </c>
      <c r="Q150" s="2">
        <v>3.0515046296296297E-2</v>
      </c>
      <c r="V150" s="2">
        <v>3.0679398148148147E-2</v>
      </c>
      <c r="W150" t="s">
        <v>32</v>
      </c>
      <c r="X150" t="s">
        <v>30</v>
      </c>
    </row>
    <row r="151" spans="1:24" x14ac:dyDescent="0.3">
      <c r="A151" t="s">
        <v>315</v>
      </c>
      <c r="B151" t="s">
        <v>25</v>
      </c>
      <c r="C151" t="s">
        <v>26</v>
      </c>
      <c r="D151">
        <v>2247574.84</v>
      </c>
      <c r="E151">
        <v>1635494.9</v>
      </c>
      <c r="F151">
        <v>2247574.84</v>
      </c>
      <c r="G151" t="s">
        <v>27</v>
      </c>
      <c r="H151">
        <v>1125101</v>
      </c>
      <c r="I151" t="s">
        <v>222</v>
      </c>
      <c r="J151" t="s">
        <v>29</v>
      </c>
      <c r="K151" t="s">
        <v>30</v>
      </c>
      <c r="M151" s="1">
        <v>45658</v>
      </c>
      <c r="O151" s="2">
        <v>3.0515046296296297E-2</v>
      </c>
      <c r="P151" t="s">
        <v>31</v>
      </c>
      <c r="Q151" s="2">
        <v>3.0515046296296297E-2</v>
      </c>
      <c r="V151" s="2">
        <v>3.0679398148148147E-2</v>
      </c>
      <c r="W151" t="s">
        <v>32</v>
      </c>
      <c r="X151" t="s">
        <v>30</v>
      </c>
    </row>
    <row r="152" spans="1:24" x14ac:dyDescent="0.3">
      <c r="A152" t="s">
        <v>316</v>
      </c>
      <c r="B152" t="s">
        <v>25</v>
      </c>
      <c r="C152" t="s">
        <v>26</v>
      </c>
      <c r="D152">
        <v>161481.92000000001</v>
      </c>
      <c r="E152">
        <v>115608.48</v>
      </c>
      <c r="F152">
        <v>161481.92000000001</v>
      </c>
      <c r="G152" t="s">
        <v>27</v>
      </c>
      <c r="H152">
        <v>1125101</v>
      </c>
      <c r="I152" t="s">
        <v>222</v>
      </c>
      <c r="J152" t="s">
        <v>29</v>
      </c>
      <c r="K152" t="s">
        <v>30</v>
      </c>
      <c r="M152" s="1">
        <v>45658</v>
      </c>
      <c r="O152" s="2">
        <v>3.0515046296296297E-2</v>
      </c>
      <c r="P152" t="s">
        <v>31</v>
      </c>
      <c r="Q152" s="2">
        <v>3.0515046296296297E-2</v>
      </c>
      <c r="V152" s="2">
        <v>3.0679398148148147E-2</v>
      </c>
      <c r="W152" t="s">
        <v>32</v>
      </c>
      <c r="X152" t="s">
        <v>30</v>
      </c>
    </row>
    <row r="153" spans="1:24" x14ac:dyDescent="0.3">
      <c r="A153" t="s">
        <v>317</v>
      </c>
      <c r="B153" t="s">
        <v>25</v>
      </c>
      <c r="C153" t="s">
        <v>26</v>
      </c>
      <c r="D153">
        <v>460.43</v>
      </c>
      <c r="E153">
        <v>339</v>
      </c>
      <c r="F153">
        <v>460.43</v>
      </c>
      <c r="G153" t="s">
        <v>38</v>
      </c>
      <c r="H153">
        <v>1210100</v>
      </c>
      <c r="I153" t="s">
        <v>318</v>
      </c>
      <c r="J153" t="s">
        <v>29</v>
      </c>
      <c r="K153" t="s">
        <v>30</v>
      </c>
      <c r="M153" s="1">
        <v>45658</v>
      </c>
      <c r="O153" s="2">
        <v>3.0515046296296297E-2</v>
      </c>
      <c r="P153" t="s">
        <v>31</v>
      </c>
      <c r="Q153" s="2">
        <v>3.0515046296296297E-2</v>
      </c>
      <c r="V153" s="2">
        <v>3.0679398148148147E-2</v>
      </c>
      <c r="W153" t="s">
        <v>32</v>
      </c>
      <c r="X153" t="s">
        <v>30</v>
      </c>
    </row>
    <row r="154" spans="1:24" x14ac:dyDescent="0.3">
      <c r="A154" t="s">
        <v>319</v>
      </c>
      <c r="B154" t="s">
        <v>25</v>
      </c>
      <c r="C154" t="s">
        <v>26</v>
      </c>
      <c r="D154">
        <v>-41.78</v>
      </c>
      <c r="E154">
        <v>-30.76</v>
      </c>
      <c r="F154">
        <v>-41.78</v>
      </c>
      <c r="G154" t="s">
        <v>38</v>
      </c>
      <c r="H154">
        <v>1243803</v>
      </c>
      <c r="I154" t="s">
        <v>320</v>
      </c>
      <c r="J154" t="s">
        <v>29</v>
      </c>
      <c r="K154" t="s">
        <v>30</v>
      </c>
      <c r="M154" s="1">
        <v>45658</v>
      </c>
      <c r="O154" s="2">
        <v>3.0515046296296297E-2</v>
      </c>
      <c r="P154" t="s">
        <v>31</v>
      </c>
      <c r="Q154" s="2">
        <v>3.0515046296296297E-2</v>
      </c>
      <c r="V154" s="2">
        <v>3.0679398148148147E-2</v>
      </c>
      <c r="W154" t="s">
        <v>32</v>
      </c>
      <c r="X154" t="s">
        <v>30</v>
      </c>
    </row>
    <row r="155" spans="1:24" x14ac:dyDescent="0.3">
      <c r="A155" t="s">
        <v>321</v>
      </c>
      <c r="B155" t="s">
        <v>25</v>
      </c>
      <c r="C155" t="s">
        <v>26</v>
      </c>
      <c r="D155">
        <v>24525.07</v>
      </c>
      <c r="E155">
        <v>37074.120000000003</v>
      </c>
      <c r="F155">
        <v>24525.07</v>
      </c>
      <c r="G155" t="s">
        <v>27</v>
      </c>
      <c r="H155">
        <v>1244130</v>
      </c>
      <c r="I155" t="s">
        <v>322</v>
      </c>
      <c r="J155" t="s">
        <v>29</v>
      </c>
      <c r="K155" t="s">
        <v>30</v>
      </c>
      <c r="M155" s="1">
        <v>45658</v>
      </c>
      <c r="O155" s="2">
        <v>3.0515046296296297E-2</v>
      </c>
      <c r="P155" t="s">
        <v>31</v>
      </c>
      <c r="Q155" s="2">
        <v>3.0515046296296297E-2</v>
      </c>
      <c r="V155" s="2">
        <v>3.0679398148148147E-2</v>
      </c>
      <c r="W155" t="s">
        <v>32</v>
      </c>
      <c r="X155" t="s">
        <v>30</v>
      </c>
    </row>
    <row r="156" spans="1:24" x14ac:dyDescent="0.3">
      <c r="A156" t="s">
        <v>323</v>
      </c>
      <c r="B156" t="s">
        <v>43</v>
      </c>
      <c r="C156" t="s">
        <v>26</v>
      </c>
      <c r="D156">
        <v>-38769</v>
      </c>
      <c r="E156">
        <v>-29182.03</v>
      </c>
      <c r="F156">
        <v>-38769</v>
      </c>
      <c r="G156" t="s">
        <v>27</v>
      </c>
      <c r="H156">
        <v>1100601</v>
      </c>
      <c r="I156" t="s">
        <v>168</v>
      </c>
      <c r="J156" t="s">
        <v>44</v>
      </c>
      <c r="K156" t="s">
        <v>45</v>
      </c>
      <c r="M156" s="1">
        <v>45658</v>
      </c>
      <c r="O156" s="2">
        <v>3.0515046296296297E-2</v>
      </c>
      <c r="P156" t="s">
        <v>31</v>
      </c>
      <c r="Q156" s="2">
        <v>3.0515046296296297E-2</v>
      </c>
      <c r="V156" s="2">
        <v>4.1190972222222226E-2</v>
      </c>
      <c r="W156" t="s">
        <v>32</v>
      </c>
      <c r="X156" t="s">
        <v>324</v>
      </c>
    </row>
    <row r="157" spans="1:24" x14ac:dyDescent="0.3">
      <c r="A157" t="s">
        <v>325</v>
      </c>
      <c r="B157" t="s">
        <v>43</v>
      </c>
      <c r="C157" t="s">
        <v>26</v>
      </c>
      <c r="D157">
        <v>11224.11</v>
      </c>
      <c r="E157">
        <v>8410.33</v>
      </c>
      <c r="F157">
        <v>11224.11</v>
      </c>
      <c r="G157" t="s">
        <v>27</v>
      </c>
      <c r="H157">
        <v>1110202</v>
      </c>
      <c r="I157" t="s">
        <v>112</v>
      </c>
      <c r="J157" t="s">
        <v>44</v>
      </c>
      <c r="K157" t="s">
        <v>45</v>
      </c>
      <c r="M157" s="1">
        <v>45658</v>
      </c>
      <c r="O157" s="2">
        <v>3.0515046296296297E-2</v>
      </c>
      <c r="P157" t="s">
        <v>31</v>
      </c>
      <c r="Q157" s="2">
        <v>3.0515046296296297E-2</v>
      </c>
      <c r="V157" s="2">
        <v>3.0679398148148147E-2</v>
      </c>
      <c r="W157" t="s">
        <v>32</v>
      </c>
      <c r="X157" t="s">
        <v>326</v>
      </c>
    </row>
    <row r="158" spans="1:24" x14ac:dyDescent="0.3">
      <c r="A158" t="s">
        <v>327</v>
      </c>
      <c r="B158" t="s">
        <v>43</v>
      </c>
      <c r="C158" t="s">
        <v>26</v>
      </c>
      <c r="D158">
        <v>80365.55</v>
      </c>
      <c r="E158">
        <v>60255.34</v>
      </c>
      <c r="F158">
        <v>80365.55</v>
      </c>
      <c r="G158" t="s">
        <v>27</v>
      </c>
      <c r="H158">
        <v>1110602</v>
      </c>
      <c r="I158" t="s">
        <v>36</v>
      </c>
      <c r="J158" t="s">
        <v>44</v>
      </c>
      <c r="K158" t="s">
        <v>45</v>
      </c>
      <c r="M158" s="1">
        <v>45658</v>
      </c>
      <c r="O158" s="2">
        <v>3.0515046296296297E-2</v>
      </c>
      <c r="P158" t="s">
        <v>31</v>
      </c>
      <c r="Q158" s="2">
        <v>3.0515046296296297E-2</v>
      </c>
      <c r="V158" s="2">
        <v>3.0679398148148147E-2</v>
      </c>
      <c r="W158" t="s">
        <v>32</v>
      </c>
      <c r="X158" t="s">
        <v>328</v>
      </c>
    </row>
    <row r="159" spans="1:24" x14ac:dyDescent="0.3">
      <c r="A159" t="s">
        <v>329</v>
      </c>
      <c r="B159" t="s">
        <v>25</v>
      </c>
      <c r="C159" t="s">
        <v>26</v>
      </c>
      <c r="D159">
        <v>12663.34</v>
      </c>
      <c r="E159">
        <v>9323.6200000000008</v>
      </c>
      <c r="F159">
        <v>12663.34</v>
      </c>
      <c r="G159" t="s">
        <v>27</v>
      </c>
      <c r="H159">
        <v>1210000</v>
      </c>
      <c r="I159" t="s">
        <v>227</v>
      </c>
      <c r="J159" t="s">
        <v>29</v>
      </c>
      <c r="K159" t="s">
        <v>30</v>
      </c>
      <c r="M159" s="1">
        <v>45658</v>
      </c>
      <c r="O159" s="2">
        <v>3.0515046296296297E-2</v>
      </c>
      <c r="P159" t="s">
        <v>31</v>
      </c>
      <c r="Q159" s="2">
        <v>3.0515046296296297E-2</v>
      </c>
      <c r="R159" t="s">
        <v>109</v>
      </c>
      <c r="S159" t="s">
        <v>110</v>
      </c>
      <c r="V159" s="2">
        <v>3.0679398148148147E-2</v>
      </c>
      <c r="W159" t="s">
        <v>32</v>
      </c>
      <c r="X159" t="s">
        <v>30</v>
      </c>
    </row>
    <row r="160" spans="1:24" x14ac:dyDescent="0.3">
      <c r="A160" t="s">
        <v>330</v>
      </c>
      <c r="B160" t="s">
        <v>25</v>
      </c>
      <c r="C160" t="s">
        <v>26</v>
      </c>
      <c r="D160">
        <v>6510.45</v>
      </c>
      <c r="E160">
        <v>4793.4399999999996</v>
      </c>
      <c r="F160">
        <v>6510.45</v>
      </c>
      <c r="G160" t="s">
        <v>27</v>
      </c>
      <c r="H160">
        <v>1210000</v>
      </c>
      <c r="I160" t="s">
        <v>227</v>
      </c>
      <c r="J160" t="s">
        <v>29</v>
      </c>
      <c r="K160" t="s">
        <v>30</v>
      </c>
      <c r="M160" s="1">
        <v>45658</v>
      </c>
      <c r="O160" s="2">
        <v>3.0515046296296297E-2</v>
      </c>
      <c r="P160" t="s">
        <v>31</v>
      </c>
      <c r="Q160" s="2">
        <v>3.0515046296296297E-2</v>
      </c>
      <c r="R160" t="s">
        <v>138</v>
      </c>
      <c r="S160" t="s">
        <v>139</v>
      </c>
      <c r="V160" s="2">
        <v>3.0679398148148147E-2</v>
      </c>
      <c r="W160" t="s">
        <v>32</v>
      </c>
      <c r="X160" t="s">
        <v>30</v>
      </c>
    </row>
    <row r="161" spans="1:24" x14ac:dyDescent="0.3">
      <c r="A161" t="s">
        <v>331</v>
      </c>
      <c r="B161" t="s">
        <v>25</v>
      </c>
      <c r="C161" t="s">
        <v>26</v>
      </c>
      <c r="D161">
        <v>65394.5</v>
      </c>
      <c r="E161">
        <v>48147.92</v>
      </c>
      <c r="F161">
        <v>65394.5</v>
      </c>
      <c r="G161" t="s">
        <v>27</v>
      </c>
      <c r="H161">
        <v>1210000</v>
      </c>
      <c r="I161" t="s">
        <v>227</v>
      </c>
      <c r="J161" t="s">
        <v>29</v>
      </c>
      <c r="K161" t="s">
        <v>30</v>
      </c>
      <c r="M161" s="1">
        <v>45658</v>
      </c>
      <c r="O161" s="2">
        <v>3.0515046296296297E-2</v>
      </c>
      <c r="P161" t="s">
        <v>31</v>
      </c>
      <c r="Q161" s="2">
        <v>3.0515046296296297E-2</v>
      </c>
      <c r="R161" t="s">
        <v>143</v>
      </c>
      <c r="S161" t="s">
        <v>144</v>
      </c>
      <c r="V161" s="2">
        <v>3.0679398148148147E-2</v>
      </c>
      <c r="W161" t="s">
        <v>32</v>
      </c>
      <c r="X161" t="s">
        <v>30</v>
      </c>
    </row>
    <row r="162" spans="1:24" x14ac:dyDescent="0.3">
      <c r="A162" t="s">
        <v>332</v>
      </c>
      <c r="B162" t="s">
        <v>25</v>
      </c>
      <c r="C162" t="s">
        <v>26</v>
      </c>
      <c r="D162">
        <v>30189.25</v>
      </c>
      <c r="E162">
        <v>22227.39</v>
      </c>
      <c r="F162">
        <v>30189.25</v>
      </c>
      <c r="G162" t="s">
        <v>27</v>
      </c>
      <c r="H162">
        <v>1210000</v>
      </c>
      <c r="I162" t="s">
        <v>227</v>
      </c>
      <c r="J162" t="s">
        <v>29</v>
      </c>
      <c r="K162" t="s">
        <v>30</v>
      </c>
      <c r="M162" s="1">
        <v>45658</v>
      </c>
      <c r="O162" s="2">
        <v>3.0515046296296297E-2</v>
      </c>
      <c r="P162" t="s">
        <v>31</v>
      </c>
      <c r="Q162" s="2">
        <v>3.0515046296296297E-2</v>
      </c>
      <c r="R162" t="s">
        <v>155</v>
      </c>
      <c r="S162" t="s">
        <v>156</v>
      </c>
      <c r="V162" s="2">
        <v>3.0679398148148147E-2</v>
      </c>
      <c r="W162" t="s">
        <v>32</v>
      </c>
      <c r="X162" t="s">
        <v>30</v>
      </c>
    </row>
    <row r="163" spans="1:24" x14ac:dyDescent="0.3">
      <c r="A163" t="s">
        <v>333</v>
      </c>
      <c r="B163" t="s">
        <v>25</v>
      </c>
      <c r="C163" t="s">
        <v>26</v>
      </c>
      <c r="D163">
        <v>8513.92</v>
      </c>
      <c r="E163">
        <v>6268.53</v>
      </c>
      <c r="F163">
        <v>8513.92</v>
      </c>
      <c r="G163" t="s">
        <v>27</v>
      </c>
      <c r="H163">
        <v>1210000</v>
      </c>
      <c r="I163" t="s">
        <v>227</v>
      </c>
      <c r="J163" t="s">
        <v>29</v>
      </c>
      <c r="K163" t="s">
        <v>30</v>
      </c>
      <c r="M163" s="1">
        <v>45658</v>
      </c>
      <c r="O163" s="2">
        <v>3.0515046296296297E-2</v>
      </c>
      <c r="P163" t="s">
        <v>31</v>
      </c>
      <c r="Q163" s="2">
        <v>3.0515046296296297E-2</v>
      </c>
      <c r="R163" t="s">
        <v>158</v>
      </c>
      <c r="S163" t="s">
        <v>159</v>
      </c>
      <c r="V163" s="2">
        <v>3.0679398148148147E-2</v>
      </c>
      <c r="W163" t="s">
        <v>32</v>
      </c>
      <c r="X163" t="s">
        <v>30</v>
      </c>
    </row>
    <row r="164" spans="1:24" x14ac:dyDescent="0.3">
      <c r="A164" t="s">
        <v>334</v>
      </c>
      <c r="B164" t="s">
        <v>25</v>
      </c>
      <c r="C164" t="s">
        <v>26</v>
      </c>
      <c r="D164">
        <v>-7297.95</v>
      </c>
      <c r="E164">
        <v>-5373.25</v>
      </c>
      <c r="F164">
        <v>-7297.95</v>
      </c>
      <c r="G164" t="s">
        <v>27</v>
      </c>
      <c r="H164">
        <v>1210000</v>
      </c>
      <c r="I164" t="s">
        <v>227</v>
      </c>
      <c r="J164" t="s">
        <v>29</v>
      </c>
      <c r="K164" t="s">
        <v>30</v>
      </c>
      <c r="M164" s="1">
        <v>45658</v>
      </c>
      <c r="O164" s="2">
        <v>3.0515046296296297E-2</v>
      </c>
      <c r="P164" t="s">
        <v>31</v>
      </c>
      <c r="Q164" s="2">
        <v>3.0515046296296297E-2</v>
      </c>
      <c r="R164" t="s">
        <v>161</v>
      </c>
      <c r="S164" t="s">
        <v>162</v>
      </c>
      <c r="V164" s="2">
        <v>3.0679398148148147E-2</v>
      </c>
      <c r="W164" t="s">
        <v>32</v>
      </c>
      <c r="X164" t="s">
        <v>30</v>
      </c>
    </row>
    <row r="165" spans="1:24" x14ac:dyDescent="0.3">
      <c r="A165" t="s">
        <v>335</v>
      </c>
      <c r="B165" t="s">
        <v>25</v>
      </c>
      <c r="C165" t="s">
        <v>26</v>
      </c>
      <c r="D165">
        <v>98462</v>
      </c>
      <c r="E165">
        <v>74496.539999999994</v>
      </c>
      <c r="F165">
        <v>98462</v>
      </c>
      <c r="G165" t="s">
        <v>27</v>
      </c>
      <c r="H165">
        <v>1210000</v>
      </c>
      <c r="I165" t="s">
        <v>227</v>
      </c>
      <c r="J165" t="s">
        <v>29</v>
      </c>
      <c r="K165" t="s">
        <v>30</v>
      </c>
      <c r="M165" s="1">
        <v>45658</v>
      </c>
      <c r="O165" s="2">
        <v>3.0515046296296297E-2</v>
      </c>
      <c r="P165" t="s">
        <v>31</v>
      </c>
      <c r="Q165" s="2">
        <v>3.0515046296296297E-2</v>
      </c>
      <c r="R165" t="s">
        <v>255</v>
      </c>
      <c r="S165" t="s">
        <v>256</v>
      </c>
      <c r="V165" s="2">
        <v>3.0679398148148147E-2</v>
      </c>
      <c r="W165" t="s">
        <v>32</v>
      </c>
      <c r="X165" t="s">
        <v>30</v>
      </c>
    </row>
    <row r="166" spans="1:24" x14ac:dyDescent="0.3">
      <c r="A166" t="s">
        <v>336</v>
      </c>
      <c r="B166" t="s">
        <v>25</v>
      </c>
      <c r="C166" t="s">
        <v>26</v>
      </c>
      <c r="D166">
        <v>59381.56</v>
      </c>
      <c r="E166">
        <v>44509.51</v>
      </c>
      <c r="F166">
        <v>59381.56</v>
      </c>
      <c r="G166" t="s">
        <v>27</v>
      </c>
      <c r="H166">
        <v>1240000</v>
      </c>
      <c r="I166" t="s">
        <v>337</v>
      </c>
      <c r="J166" t="s">
        <v>29</v>
      </c>
      <c r="K166" t="s">
        <v>30</v>
      </c>
      <c r="M166" s="1">
        <v>45658</v>
      </c>
      <c r="O166" s="2">
        <v>3.0515046296296297E-2</v>
      </c>
      <c r="P166" t="s">
        <v>31</v>
      </c>
      <c r="Q166" s="2">
        <v>3.0515046296296297E-2</v>
      </c>
      <c r="V166" s="2">
        <v>3.0679398148148147E-2</v>
      </c>
      <c r="W166" t="s">
        <v>32</v>
      </c>
      <c r="X166" t="s">
        <v>30</v>
      </c>
    </row>
    <row r="167" spans="1:24" x14ac:dyDescent="0.3">
      <c r="A167" t="s">
        <v>338</v>
      </c>
      <c r="B167" t="s">
        <v>25</v>
      </c>
      <c r="C167" t="s">
        <v>26</v>
      </c>
      <c r="D167">
        <v>-490.64</v>
      </c>
      <c r="E167">
        <v>-364.19</v>
      </c>
      <c r="F167">
        <v>-490.64</v>
      </c>
      <c r="G167" t="s">
        <v>27</v>
      </c>
      <c r="H167">
        <v>1243810</v>
      </c>
      <c r="I167" t="s">
        <v>339</v>
      </c>
      <c r="J167" t="s">
        <v>29</v>
      </c>
      <c r="K167" t="s">
        <v>30</v>
      </c>
      <c r="M167" s="1">
        <v>45658</v>
      </c>
      <c r="O167" s="2">
        <v>3.0515046296296297E-2</v>
      </c>
      <c r="P167" t="s">
        <v>31</v>
      </c>
      <c r="Q167" s="2">
        <v>3.0515046296296297E-2</v>
      </c>
      <c r="T167" t="s">
        <v>340</v>
      </c>
      <c r="V167" s="2">
        <v>3.0679398148148147E-2</v>
      </c>
      <c r="W167" t="s">
        <v>32</v>
      </c>
      <c r="X167" t="s">
        <v>30</v>
      </c>
    </row>
    <row r="168" spans="1:24" x14ac:dyDescent="0.3">
      <c r="A168" t="s">
        <v>341</v>
      </c>
      <c r="B168" t="s">
        <v>25</v>
      </c>
      <c r="C168" t="s">
        <v>26</v>
      </c>
      <c r="D168">
        <v>-869.3</v>
      </c>
      <c r="E168">
        <v>-648.92999999999995</v>
      </c>
      <c r="F168">
        <v>-869.3</v>
      </c>
      <c r="G168" t="s">
        <v>27</v>
      </c>
      <c r="H168">
        <v>1243810</v>
      </c>
      <c r="I168" t="s">
        <v>339</v>
      </c>
      <c r="J168" t="s">
        <v>29</v>
      </c>
      <c r="K168" t="s">
        <v>30</v>
      </c>
      <c r="M168" s="1">
        <v>45658</v>
      </c>
      <c r="O168" s="2">
        <v>3.0515046296296297E-2</v>
      </c>
      <c r="P168" t="s">
        <v>31</v>
      </c>
      <c r="Q168" s="2">
        <v>3.0515046296296297E-2</v>
      </c>
      <c r="T168" t="s">
        <v>294</v>
      </c>
      <c r="V168" s="2">
        <v>3.0679398148148147E-2</v>
      </c>
      <c r="W168" t="s">
        <v>32</v>
      </c>
      <c r="X168" t="s">
        <v>30</v>
      </c>
    </row>
    <row r="169" spans="1:24" x14ac:dyDescent="0.3">
      <c r="A169" t="s">
        <v>342</v>
      </c>
      <c r="B169" t="s">
        <v>25</v>
      </c>
      <c r="C169" t="s">
        <v>26</v>
      </c>
      <c r="D169">
        <v>33.450000000000003</v>
      </c>
      <c r="E169">
        <v>24.97</v>
      </c>
      <c r="F169">
        <v>33.450000000000003</v>
      </c>
      <c r="G169" t="s">
        <v>27</v>
      </c>
      <c r="H169">
        <v>1243810</v>
      </c>
      <c r="I169" t="s">
        <v>339</v>
      </c>
      <c r="J169" t="s">
        <v>29</v>
      </c>
      <c r="K169" t="s">
        <v>30</v>
      </c>
      <c r="M169" s="1">
        <v>45658</v>
      </c>
      <c r="O169" s="2">
        <v>3.0515046296296297E-2</v>
      </c>
      <c r="P169" t="s">
        <v>31</v>
      </c>
      <c r="Q169" s="2">
        <v>3.0515046296296297E-2</v>
      </c>
      <c r="T169" t="s">
        <v>343</v>
      </c>
      <c r="V169" s="2">
        <v>3.0679398148148147E-2</v>
      </c>
      <c r="W169" t="s">
        <v>32</v>
      </c>
      <c r="X169" t="s">
        <v>30</v>
      </c>
    </row>
    <row r="170" spans="1:24" x14ac:dyDescent="0.3">
      <c r="A170" t="s">
        <v>344</v>
      </c>
      <c r="B170" t="s">
        <v>25</v>
      </c>
      <c r="C170" t="s">
        <v>26</v>
      </c>
      <c r="D170">
        <v>2.4900000000000002</v>
      </c>
      <c r="E170">
        <v>31.08</v>
      </c>
      <c r="F170">
        <v>2.4900000000000002</v>
      </c>
      <c r="G170" t="s">
        <v>27</v>
      </c>
      <c r="H170">
        <v>1243810</v>
      </c>
      <c r="I170" t="s">
        <v>339</v>
      </c>
      <c r="J170" t="s">
        <v>29</v>
      </c>
      <c r="K170" t="s">
        <v>30</v>
      </c>
      <c r="M170" s="1">
        <v>45658</v>
      </c>
      <c r="O170" s="2">
        <v>3.0515046296296297E-2</v>
      </c>
      <c r="P170" t="s">
        <v>31</v>
      </c>
      <c r="Q170" s="2">
        <v>3.0515046296296297E-2</v>
      </c>
      <c r="T170" t="s">
        <v>296</v>
      </c>
      <c r="V170" s="2">
        <v>3.0679398148148147E-2</v>
      </c>
      <c r="W170" t="s">
        <v>32</v>
      </c>
      <c r="X170" t="s">
        <v>30</v>
      </c>
    </row>
    <row r="171" spans="1:24" x14ac:dyDescent="0.3">
      <c r="A171" t="s">
        <v>345</v>
      </c>
      <c r="B171" t="s">
        <v>25</v>
      </c>
      <c r="C171" t="s">
        <v>26</v>
      </c>
      <c r="D171">
        <v>-288.27</v>
      </c>
      <c r="E171">
        <v>-208.21</v>
      </c>
      <c r="F171">
        <v>-288.27</v>
      </c>
      <c r="G171" t="s">
        <v>27</v>
      </c>
      <c r="H171">
        <v>1243810</v>
      </c>
      <c r="I171" t="s">
        <v>339</v>
      </c>
      <c r="J171" t="s">
        <v>29</v>
      </c>
      <c r="K171" t="s">
        <v>30</v>
      </c>
      <c r="M171" s="1">
        <v>45658</v>
      </c>
      <c r="O171" s="2">
        <v>3.0515046296296297E-2</v>
      </c>
      <c r="P171" t="s">
        <v>31</v>
      </c>
      <c r="Q171" s="2">
        <v>3.0515046296296297E-2</v>
      </c>
      <c r="T171" t="s">
        <v>346</v>
      </c>
      <c r="V171" s="2">
        <v>3.0679398148148147E-2</v>
      </c>
      <c r="W171" t="s">
        <v>32</v>
      </c>
      <c r="X171" t="s">
        <v>30</v>
      </c>
    </row>
    <row r="172" spans="1:24" x14ac:dyDescent="0.3">
      <c r="A172" t="s">
        <v>347</v>
      </c>
      <c r="B172" t="s">
        <v>25</v>
      </c>
      <c r="C172" t="s">
        <v>26</v>
      </c>
      <c r="D172">
        <v>-556.95000000000005</v>
      </c>
      <c r="E172">
        <v>-410.14</v>
      </c>
      <c r="F172">
        <v>-556.95000000000005</v>
      </c>
      <c r="G172" t="s">
        <v>27</v>
      </c>
      <c r="H172">
        <v>1243810</v>
      </c>
      <c r="I172" t="s">
        <v>339</v>
      </c>
      <c r="J172" t="s">
        <v>29</v>
      </c>
      <c r="K172" t="s">
        <v>30</v>
      </c>
      <c r="M172" s="1">
        <v>45658</v>
      </c>
      <c r="O172" s="2">
        <v>3.0515046296296297E-2</v>
      </c>
      <c r="P172" t="s">
        <v>31</v>
      </c>
      <c r="Q172" s="2">
        <v>3.0515046296296297E-2</v>
      </c>
      <c r="T172" t="s">
        <v>348</v>
      </c>
      <c r="V172" s="2">
        <v>3.0679398148148147E-2</v>
      </c>
      <c r="W172" t="s">
        <v>32</v>
      </c>
      <c r="X172" t="s">
        <v>30</v>
      </c>
    </row>
    <row r="173" spans="1:24" x14ac:dyDescent="0.3">
      <c r="A173" t="s">
        <v>349</v>
      </c>
      <c r="B173" t="s">
        <v>25</v>
      </c>
      <c r="C173" t="s">
        <v>26</v>
      </c>
      <c r="D173">
        <v>72.44</v>
      </c>
      <c r="E173">
        <v>44.33</v>
      </c>
      <c r="F173">
        <v>72.44</v>
      </c>
      <c r="G173" t="s">
        <v>27</v>
      </c>
      <c r="H173">
        <v>1243810</v>
      </c>
      <c r="I173" t="s">
        <v>339</v>
      </c>
      <c r="J173" t="s">
        <v>29</v>
      </c>
      <c r="K173" t="s">
        <v>30</v>
      </c>
      <c r="M173" s="1">
        <v>45658</v>
      </c>
      <c r="O173" s="2">
        <v>3.0515046296296297E-2</v>
      </c>
      <c r="P173" t="s">
        <v>31</v>
      </c>
      <c r="Q173" s="2">
        <v>3.0515046296296297E-2</v>
      </c>
      <c r="T173" t="s">
        <v>350</v>
      </c>
      <c r="V173" s="2">
        <v>3.0679398148148147E-2</v>
      </c>
      <c r="W173" t="s">
        <v>32</v>
      </c>
      <c r="X173" t="s">
        <v>30</v>
      </c>
    </row>
    <row r="174" spans="1:24" x14ac:dyDescent="0.3">
      <c r="A174" t="s">
        <v>351</v>
      </c>
      <c r="B174" t="s">
        <v>25</v>
      </c>
      <c r="C174" t="s">
        <v>26</v>
      </c>
      <c r="D174">
        <v>-809.35</v>
      </c>
      <c r="E174">
        <v>-601.87</v>
      </c>
      <c r="F174">
        <v>-809.35</v>
      </c>
      <c r="G174" t="s">
        <v>27</v>
      </c>
      <c r="H174">
        <v>1243810</v>
      </c>
      <c r="I174" t="s">
        <v>339</v>
      </c>
      <c r="J174" t="s">
        <v>29</v>
      </c>
      <c r="K174" t="s">
        <v>30</v>
      </c>
      <c r="M174" s="1">
        <v>45658</v>
      </c>
      <c r="O174" s="2">
        <v>3.0515046296296297E-2</v>
      </c>
      <c r="P174" t="s">
        <v>31</v>
      </c>
      <c r="Q174" s="2">
        <v>3.0515046296296297E-2</v>
      </c>
      <c r="T174" t="s">
        <v>298</v>
      </c>
      <c r="V174" s="2">
        <v>3.0679398148148147E-2</v>
      </c>
      <c r="W174" t="s">
        <v>32</v>
      </c>
      <c r="X174" t="s">
        <v>30</v>
      </c>
    </row>
    <row r="175" spans="1:24" x14ac:dyDescent="0.3">
      <c r="A175" t="s">
        <v>352</v>
      </c>
      <c r="B175" t="s">
        <v>25</v>
      </c>
      <c r="C175" t="s">
        <v>26</v>
      </c>
      <c r="D175">
        <v>-148.57</v>
      </c>
      <c r="E175">
        <v>-110.3</v>
      </c>
      <c r="F175">
        <v>-148.57</v>
      </c>
      <c r="G175" t="s">
        <v>27</v>
      </c>
      <c r="H175">
        <v>1243810</v>
      </c>
      <c r="I175" t="s">
        <v>339</v>
      </c>
      <c r="J175" t="s">
        <v>29</v>
      </c>
      <c r="K175" t="s">
        <v>30</v>
      </c>
      <c r="M175" s="1">
        <v>45658</v>
      </c>
      <c r="O175" s="2">
        <v>3.0515046296296297E-2</v>
      </c>
      <c r="P175" t="s">
        <v>31</v>
      </c>
      <c r="Q175" s="2">
        <v>3.0515046296296297E-2</v>
      </c>
      <c r="T175" t="s">
        <v>353</v>
      </c>
      <c r="V175" s="2">
        <v>3.0679398148148147E-2</v>
      </c>
      <c r="W175" t="s">
        <v>32</v>
      </c>
      <c r="X175" t="s">
        <v>30</v>
      </c>
    </row>
    <row r="176" spans="1:24" x14ac:dyDescent="0.3">
      <c r="A176" t="s">
        <v>354</v>
      </c>
      <c r="B176" t="s">
        <v>25</v>
      </c>
      <c r="C176" t="s">
        <v>26</v>
      </c>
      <c r="D176">
        <v>-36.28</v>
      </c>
      <c r="E176">
        <v>-27.08</v>
      </c>
      <c r="F176">
        <v>-36.28</v>
      </c>
      <c r="G176" t="s">
        <v>27</v>
      </c>
      <c r="H176">
        <v>1243810</v>
      </c>
      <c r="I176" t="s">
        <v>339</v>
      </c>
      <c r="J176" t="s">
        <v>29</v>
      </c>
      <c r="K176" t="s">
        <v>30</v>
      </c>
      <c r="M176" s="1">
        <v>45658</v>
      </c>
      <c r="O176" s="2">
        <v>3.0515046296296297E-2</v>
      </c>
      <c r="P176" t="s">
        <v>31</v>
      </c>
      <c r="Q176" s="2">
        <v>3.0515046296296297E-2</v>
      </c>
      <c r="T176" t="s">
        <v>355</v>
      </c>
      <c r="V176" s="2">
        <v>3.0679398148148147E-2</v>
      </c>
      <c r="W176" t="s">
        <v>32</v>
      </c>
      <c r="X176" t="s">
        <v>30</v>
      </c>
    </row>
    <row r="177" spans="1:24" x14ac:dyDescent="0.3">
      <c r="A177" t="s">
        <v>356</v>
      </c>
      <c r="B177" t="s">
        <v>25</v>
      </c>
      <c r="C177" t="s">
        <v>26</v>
      </c>
      <c r="D177">
        <v>1.72</v>
      </c>
      <c r="E177">
        <v>1.28</v>
      </c>
      <c r="F177">
        <v>1.72</v>
      </c>
      <c r="G177" t="s">
        <v>27</v>
      </c>
      <c r="H177">
        <v>1243810</v>
      </c>
      <c r="I177" t="s">
        <v>339</v>
      </c>
      <c r="J177" t="s">
        <v>29</v>
      </c>
      <c r="K177" t="s">
        <v>30</v>
      </c>
      <c r="M177" s="1">
        <v>45658</v>
      </c>
      <c r="O177" s="2">
        <v>3.0515046296296297E-2</v>
      </c>
      <c r="P177" t="s">
        <v>31</v>
      </c>
      <c r="Q177" s="2">
        <v>3.0515046296296297E-2</v>
      </c>
      <c r="T177" t="s">
        <v>357</v>
      </c>
      <c r="V177" s="2">
        <v>3.0679398148148147E-2</v>
      </c>
      <c r="W177" t="s">
        <v>32</v>
      </c>
      <c r="X177" t="s">
        <v>30</v>
      </c>
    </row>
    <row r="178" spans="1:24" x14ac:dyDescent="0.3">
      <c r="A178" t="s">
        <v>358</v>
      </c>
      <c r="B178" t="s">
        <v>25</v>
      </c>
      <c r="C178" t="s">
        <v>26</v>
      </c>
      <c r="D178">
        <v>-1760.2</v>
      </c>
      <c r="E178">
        <v>-1313.97</v>
      </c>
      <c r="F178">
        <v>-1760.2</v>
      </c>
      <c r="G178" t="s">
        <v>27</v>
      </c>
      <c r="H178">
        <v>1243810</v>
      </c>
      <c r="I178" t="s">
        <v>339</v>
      </c>
      <c r="J178" t="s">
        <v>29</v>
      </c>
      <c r="K178" t="s">
        <v>30</v>
      </c>
      <c r="M178" s="1">
        <v>45658</v>
      </c>
      <c r="O178" s="2">
        <v>3.0515046296296297E-2</v>
      </c>
      <c r="P178" t="s">
        <v>31</v>
      </c>
      <c r="Q178" s="2">
        <v>3.0515046296296297E-2</v>
      </c>
      <c r="T178" t="s">
        <v>359</v>
      </c>
      <c r="V178" s="2">
        <v>3.0679398148148147E-2</v>
      </c>
      <c r="W178" t="s">
        <v>32</v>
      </c>
      <c r="X178" t="s">
        <v>30</v>
      </c>
    </row>
    <row r="179" spans="1:24" x14ac:dyDescent="0.3">
      <c r="A179" t="s">
        <v>360</v>
      </c>
      <c r="B179" t="s">
        <v>25</v>
      </c>
      <c r="C179" t="s">
        <v>26</v>
      </c>
      <c r="D179">
        <v>-90.81</v>
      </c>
      <c r="E179">
        <v>-60.48</v>
      </c>
      <c r="F179">
        <v>-90.81</v>
      </c>
      <c r="G179" t="s">
        <v>27</v>
      </c>
      <c r="H179">
        <v>1243810</v>
      </c>
      <c r="I179" t="s">
        <v>339</v>
      </c>
      <c r="J179" t="s">
        <v>29</v>
      </c>
      <c r="K179" t="s">
        <v>30</v>
      </c>
      <c r="M179" s="1">
        <v>45658</v>
      </c>
      <c r="O179" s="2">
        <v>3.0515046296296297E-2</v>
      </c>
      <c r="P179" t="s">
        <v>31</v>
      </c>
      <c r="Q179" s="2">
        <v>3.0515046296296297E-2</v>
      </c>
      <c r="T179" t="s">
        <v>361</v>
      </c>
      <c r="V179" s="2">
        <v>3.0679398148148147E-2</v>
      </c>
      <c r="W179" t="s">
        <v>32</v>
      </c>
      <c r="X179" t="s">
        <v>30</v>
      </c>
    </row>
    <row r="180" spans="1:24" x14ac:dyDescent="0.3">
      <c r="A180" t="s">
        <v>362</v>
      </c>
      <c r="B180" t="s">
        <v>25</v>
      </c>
      <c r="C180" t="s">
        <v>26</v>
      </c>
      <c r="D180">
        <v>-65</v>
      </c>
      <c r="E180">
        <v>-48.52</v>
      </c>
      <c r="F180">
        <v>-65</v>
      </c>
      <c r="G180" t="s">
        <v>27</v>
      </c>
      <c r="H180">
        <v>1243810</v>
      </c>
      <c r="I180" t="s">
        <v>339</v>
      </c>
      <c r="J180" t="s">
        <v>29</v>
      </c>
      <c r="K180" t="s">
        <v>30</v>
      </c>
      <c r="M180" s="1">
        <v>45658</v>
      </c>
      <c r="O180" s="2">
        <v>3.0515046296296297E-2</v>
      </c>
      <c r="P180" t="s">
        <v>31</v>
      </c>
      <c r="Q180" s="2">
        <v>3.0515046296296297E-2</v>
      </c>
      <c r="T180" t="s">
        <v>363</v>
      </c>
      <c r="V180" s="2">
        <v>3.0679398148148147E-2</v>
      </c>
      <c r="W180" t="s">
        <v>32</v>
      </c>
      <c r="X180" t="s">
        <v>30</v>
      </c>
    </row>
    <row r="181" spans="1:24" x14ac:dyDescent="0.3">
      <c r="A181" t="s">
        <v>364</v>
      </c>
      <c r="B181" t="s">
        <v>25</v>
      </c>
      <c r="C181" t="s">
        <v>26</v>
      </c>
      <c r="D181">
        <v>-1998.09</v>
      </c>
      <c r="E181">
        <v>-1484.16</v>
      </c>
      <c r="F181">
        <v>-1998.09</v>
      </c>
      <c r="G181" t="s">
        <v>27</v>
      </c>
      <c r="H181">
        <v>1243810</v>
      </c>
      <c r="I181" t="s">
        <v>339</v>
      </c>
      <c r="J181" t="s">
        <v>29</v>
      </c>
      <c r="K181" t="s">
        <v>30</v>
      </c>
      <c r="M181" s="1">
        <v>45658</v>
      </c>
      <c r="O181" s="2">
        <v>3.0515046296296297E-2</v>
      </c>
      <c r="P181" t="s">
        <v>31</v>
      </c>
      <c r="Q181" s="2">
        <v>3.0515046296296297E-2</v>
      </c>
      <c r="T181" t="s">
        <v>300</v>
      </c>
      <c r="V181" s="2">
        <v>3.0679398148148147E-2</v>
      </c>
      <c r="W181" t="s">
        <v>32</v>
      </c>
      <c r="X181" t="s">
        <v>30</v>
      </c>
    </row>
    <row r="182" spans="1:24" x14ac:dyDescent="0.3">
      <c r="A182" t="s">
        <v>365</v>
      </c>
      <c r="B182" t="s">
        <v>366</v>
      </c>
      <c r="C182" t="s">
        <v>26</v>
      </c>
      <c r="D182">
        <v>6839498.1399999997</v>
      </c>
      <c r="E182">
        <v>6503356.71</v>
      </c>
      <c r="F182">
        <v>6839498.1399999997</v>
      </c>
      <c r="H182">
        <v>3302000</v>
      </c>
      <c r="I182" t="s">
        <v>279</v>
      </c>
      <c r="J182" t="s">
        <v>29</v>
      </c>
      <c r="K182" t="s">
        <v>30</v>
      </c>
      <c r="M182" s="1">
        <v>45658</v>
      </c>
      <c r="O182" s="2">
        <v>3.0515046296296297E-2</v>
      </c>
      <c r="P182" t="s">
        <v>367</v>
      </c>
      <c r="Q182" s="2">
        <v>3.0568287037037036E-2</v>
      </c>
      <c r="V182" s="2">
        <v>3.0679398148148147E-2</v>
      </c>
      <c r="W182" t="s">
        <v>32</v>
      </c>
      <c r="X182" t="s">
        <v>368</v>
      </c>
    </row>
    <row r="183" spans="1:24" x14ac:dyDescent="0.3">
      <c r="A183" t="s">
        <v>369</v>
      </c>
      <c r="B183" t="s">
        <v>366</v>
      </c>
      <c r="C183" t="s">
        <v>26</v>
      </c>
      <c r="D183">
        <v>-150534.42000000001</v>
      </c>
      <c r="E183">
        <v>-112800</v>
      </c>
      <c r="F183">
        <v>-150534.42000000001</v>
      </c>
      <c r="H183">
        <v>3302000</v>
      </c>
      <c r="I183" t="s">
        <v>279</v>
      </c>
      <c r="J183" t="s">
        <v>29</v>
      </c>
      <c r="K183" t="s">
        <v>30</v>
      </c>
      <c r="M183" s="1">
        <v>45658</v>
      </c>
      <c r="O183" s="2">
        <v>3.0515046296296297E-2</v>
      </c>
      <c r="P183" t="s">
        <v>31</v>
      </c>
      <c r="Q183" s="2">
        <v>3.0515046296296297E-2</v>
      </c>
      <c r="T183" t="s">
        <v>340</v>
      </c>
      <c r="V183" s="2">
        <v>3.0679398148148147E-2</v>
      </c>
      <c r="W183" t="s">
        <v>32</v>
      </c>
      <c r="X183" t="s">
        <v>368</v>
      </c>
    </row>
    <row r="184" spans="1:24" x14ac:dyDescent="0.3">
      <c r="A184" t="s">
        <v>370</v>
      </c>
      <c r="B184" t="s">
        <v>366</v>
      </c>
      <c r="C184" t="s">
        <v>26</v>
      </c>
      <c r="D184">
        <v>10524.8</v>
      </c>
      <c r="E184">
        <v>7955.74</v>
      </c>
      <c r="F184">
        <v>10524.8</v>
      </c>
      <c r="H184">
        <v>3302000</v>
      </c>
      <c r="I184" t="s">
        <v>279</v>
      </c>
      <c r="J184" t="s">
        <v>29</v>
      </c>
      <c r="K184" t="s">
        <v>30</v>
      </c>
      <c r="M184" s="1">
        <v>45658</v>
      </c>
      <c r="O184" s="2">
        <v>3.0515046296296297E-2</v>
      </c>
      <c r="P184" t="s">
        <v>31</v>
      </c>
      <c r="Q184" s="2">
        <v>3.0515046296296297E-2</v>
      </c>
      <c r="V184" s="2">
        <v>3.0679398148148147E-2</v>
      </c>
      <c r="W184" t="s">
        <v>32</v>
      </c>
      <c r="X184" t="s">
        <v>368</v>
      </c>
    </row>
    <row r="185" spans="1:24" x14ac:dyDescent="0.3">
      <c r="A185" t="s">
        <v>371</v>
      </c>
      <c r="B185" t="s">
        <v>366</v>
      </c>
      <c r="C185" t="s">
        <v>26</v>
      </c>
      <c r="D185">
        <v>-134119.76</v>
      </c>
      <c r="E185">
        <v>-100500</v>
      </c>
      <c r="F185">
        <v>-134119.76</v>
      </c>
      <c r="H185">
        <v>3302000</v>
      </c>
      <c r="I185" t="s">
        <v>279</v>
      </c>
      <c r="J185" t="s">
        <v>29</v>
      </c>
      <c r="K185" t="s">
        <v>30</v>
      </c>
      <c r="M185" s="1">
        <v>45658</v>
      </c>
      <c r="O185" s="2">
        <v>3.0515046296296297E-2</v>
      </c>
      <c r="P185" t="s">
        <v>31</v>
      </c>
      <c r="Q185" s="2">
        <v>3.0515046296296297E-2</v>
      </c>
      <c r="T185" t="s">
        <v>343</v>
      </c>
      <c r="V185" s="2">
        <v>3.0679398148148147E-2</v>
      </c>
      <c r="W185" t="s">
        <v>32</v>
      </c>
      <c r="X185" t="s">
        <v>368</v>
      </c>
    </row>
    <row r="186" spans="1:24" x14ac:dyDescent="0.3">
      <c r="A186" t="s">
        <v>372</v>
      </c>
      <c r="B186" t="s">
        <v>366</v>
      </c>
      <c r="C186" t="s">
        <v>26</v>
      </c>
      <c r="D186">
        <v>-80585.17</v>
      </c>
      <c r="E186">
        <v>-59988.65</v>
      </c>
      <c r="F186">
        <v>-80585.17</v>
      </c>
      <c r="H186">
        <v>3302000</v>
      </c>
      <c r="I186" t="s">
        <v>279</v>
      </c>
      <c r="J186" t="s">
        <v>29</v>
      </c>
      <c r="K186" t="s">
        <v>30</v>
      </c>
      <c r="M186" s="1">
        <v>45658</v>
      </c>
      <c r="O186" s="2">
        <v>3.0515046296296297E-2</v>
      </c>
      <c r="P186" t="s">
        <v>31</v>
      </c>
      <c r="Q186" s="2">
        <v>3.0515046296296297E-2</v>
      </c>
      <c r="T186" t="s">
        <v>346</v>
      </c>
      <c r="V186" s="2">
        <v>3.0679398148148147E-2</v>
      </c>
      <c r="W186" t="s">
        <v>32</v>
      </c>
      <c r="X186" t="s">
        <v>368</v>
      </c>
    </row>
    <row r="187" spans="1:24" x14ac:dyDescent="0.3">
      <c r="A187" t="s">
        <v>373</v>
      </c>
      <c r="B187" t="s">
        <v>366</v>
      </c>
      <c r="C187" t="s">
        <v>26</v>
      </c>
      <c r="D187">
        <v>-148564.07</v>
      </c>
      <c r="E187">
        <v>-110161.3</v>
      </c>
      <c r="F187">
        <v>-148564.07</v>
      </c>
      <c r="H187">
        <v>3302000</v>
      </c>
      <c r="I187" t="s">
        <v>279</v>
      </c>
      <c r="J187" t="s">
        <v>29</v>
      </c>
      <c r="K187" t="s">
        <v>30</v>
      </c>
      <c r="M187" s="1">
        <v>45658</v>
      </c>
      <c r="O187" s="2">
        <v>3.0515046296296297E-2</v>
      </c>
      <c r="P187" t="s">
        <v>31</v>
      </c>
      <c r="Q187" s="2">
        <v>3.0515046296296297E-2</v>
      </c>
      <c r="T187" t="s">
        <v>348</v>
      </c>
      <c r="V187" s="2">
        <v>3.0679398148148147E-2</v>
      </c>
      <c r="W187" t="s">
        <v>32</v>
      </c>
      <c r="X187" t="s">
        <v>368</v>
      </c>
    </row>
    <row r="188" spans="1:24" x14ac:dyDescent="0.3">
      <c r="A188" t="s">
        <v>374</v>
      </c>
      <c r="B188" t="s">
        <v>366</v>
      </c>
      <c r="C188" t="s">
        <v>26</v>
      </c>
      <c r="D188">
        <v>-72701.399999999994</v>
      </c>
      <c r="E188">
        <v>-54035.32</v>
      </c>
      <c r="F188">
        <v>-72701.399999999994</v>
      </c>
      <c r="H188">
        <v>3302000</v>
      </c>
      <c r="I188" t="s">
        <v>279</v>
      </c>
      <c r="J188" t="s">
        <v>29</v>
      </c>
      <c r="K188" t="s">
        <v>30</v>
      </c>
      <c r="M188" s="1">
        <v>45658</v>
      </c>
      <c r="O188" s="2">
        <v>3.0515046296296297E-2</v>
      </c>
      <c r="P188" t="s">
        <v>31</v>
      </c>
      <c r="Q188" s="2">
        <v>3.0515046296296297E-2</v>
      </c>
      <c r="T188" t="s">
        <v>355</v>
      </c>
      <c r="V188" s="2">
        <v>3.0679398148148147E-2</v>
      </c>
      <c r="W188" t="s">
        <v>32</v>
      </c>
      <c r="X188" t="s">
        <v>368</v>
      </c>
    </row>
    <row r="189" spans="1:24" x14ac:dyDescent="0.3">
      <c r="A189" t="s">
        <v>375</v>
      </c>
      <c r="B189" t="s">
        <v>366</v>
      </c>
      <c r="C189" t="s">
        <v>26</v>
      </c>
      <c r="D189">
        <v>-122509.39</v>
      </c>
      <c r="E189">
        <v>-91800</v>
      </c>
      <c r="F189">
        <v>-122509.39</v>
      </c>
      <c r="H189">
        <v>3302000</v>
      </c>
      <c r="I189" t="s">
        <v>279</v>
      </c>
      <c r="J189" t="s">
        <v>29</v>
      </c>
      <c r="K189" t="s">
        <v>30</v>
      </c>
      <c r="M189" s="1">
        <v>45658</v>
      </c>
      <c r="O189" s="2">
        <v>3.0515046296296297E-2</v>
      </c>
      <c r="P189" t="s">
        <v>31</v>
      </c>
      <c r="Q189" s="2">
        <v>3.0515046296296297E-2</v>
      </c>
      <c r="T189" t="s">
        <v>361</v>
      </c>
      <c r="V189" s="2">
        <v>3.0679398148148147E-2</v>
      </c>
      <c r="W189" t="s">
        <v>32</v>
      </c>
      <c r="X189" t="s">
        <v>368</v>
      </c>
    </row>
    <row r="190" spans="1:24" x14ac:dyDescent="0.3">
      <c r="A190" t="s">
        <v>376</v>
      </c>
      <c r="B190" t="s">
        <v>366</v>
      </c>
      <c r="C190" t="s">
        <v>26</v>
      </c>
      <c r="D190">
        <v>-171594.58</v>
      </c>
      <c r="E190">
        <v>-128580</v>
      </c>
      <c r="F190">
        <v>-171594.58</v>
      </c>
      <c r="H190">
        <v>3302000</v>
      </c>
      <c r="I190" t="s">
        <v>279</v>
      </c>
      <c r="J190" t="s">
        <v>29</v>
      </c>
      <c r="K190" t="s">
        <v>30</v>
      </c>
      <c r="M190" s="1">
        <v>45658</v>
      </c>
      <c r="O190" s="2">
        <v>3.0515046296296297E-2</v>
      </c>
      <c r="P190" t="s">
        <v>31</v>
      </c>
      <c r="Q190" s="2">
        <v>3.0515046296296297E-2</v>
      </c>
      <c r="T190" t="s">
        <v>377</v>
      </c>
      <c r="V190" s="2">
        <v>3.0679398148148147E-2</v>
      </c>
      <c r="W190" t="s">
        <v>32</v>
      </c>
      <c r="X190" t="s">
        <v>368</v>
      </c>
    </row>
    <row r="191" spans="1:24" x14ac:dyDescent="0.3">
      <c r="A191" t="s">
        <v>378</v>
      </c>
      <c r="B191" t="s">
        <v>366</v>
      </c>
      <c r="C191" t="s">
        <v>26</v>
      </c>
      <c r="D191">
        <v>34895.4</v>
      </c>
      <c r="E191">
        <v>26139.85</v>
      </c>
      <c r="F191">
        <v>34895.4</v>
      </c>
      <c r="H191">
        <v>3302000</v>
      </c>
      <c r="I191" t="s">
        <v>279</v>
      </c>
      <c r="J191" t="s">
        <v>29</v>
      </c>
      <c r="K191" t="s">
        <v>30</v>
      </c>
      <c r="M191" s="1">
        <v>45658</v>
      </c>
      <c r="O191" s="2">
        <v>3.0515046296296297E-2</v>
      </c>
      <c r="P191" t="s">
        <v>31</v>
      </c>
      <c r="Q191" s="2">
        <v>3.0515046296296297E-2</v>
      </c>
      <c r="V191" s="2">
        <v>3.0679398148148147E-2</v>
      </c>
      <c r="W191" t="s">
        <v>32</v>
      </c>
      <c r="X191" t="s">
        <v>368</v>
      </c>
    </row>
    <row r="192" spans="1:24" x14ac:dyDescent="0.3">
      <c r="A192" t="s">
        <v>379</v>
      </c>
      <c r="B192" t="s">
        <v>366</v>
      </c>
      <c r="C192" t="s">
        <v>26</v>
      </c>
      <c r="D192">
        <v>-71114.490000000005</v>
      </c>
      <c r="E192">
        <v>-53622.23</v>
      </c>
      <c r="F192">
        <v>-71114.490000000005</v>
      </c>
      <c r="H192">
        <v>3302000</v>
      </c>
      <c r="I192" t="s">
        <v>279</v>
      </c>
      <c r="J192" t="s">
        <v>29</v>
      </c>
      <c r="K192" t="s">
        <v>30</v>
      </c>
      <c r="M192" s="1">
        <v>45658</v>
      </c>
      <c r="O192" s="2">
        <v>3.0515046296296297E-2</v>
      </c>
      <c r="P192" t="s">
        <v>31</v>
      </c>
      <c r="Q192" s="2">
        <v>3.0515046296296297E-2</v>
      </c>
      <c r="T192" t="s">
        <v>380</v>
      </c>
      <c r="V192" s="2">
        <v>3.0679398148148147E-2</v>
      </c>
      <c r="W192" t="s">
        <v>32</v>
      </c>
      <c r="X192" t="s">
        <v>368</v>
      </c>
    </row>
    <row r="193" spans="1:24" x14ac:dyDescent="0.3">
      <c r="A193" t="s">
        <v>381</v>
      </c>
      <c r="B193" t="s">
        <v>366</v>
      </c>
      <c r="C193" t="s">
        <v>26</v>
      </c>
      <c r="D193">
        <v>-12906.21</v>
      </c>
      <c r="E193">
        <v>-9919.35</v>
      </c>
      <c r="F193">
        <v>-12906.21</v>
      </c>
      <c r="H193">
        <v>3302000</v>
      </c>
      <c r="I193" t="s">
        <v>279</v>
      </c>
      <c r="J193" t="s">
        <v>29</v>
      </c>
      <c r="K193" t="s">
        <v>30</v>
      </c>
      <c r="M193" s="1">
        <v>45658</v>
      </c>
      <c r="O193" s="2">
        <v>3.0515046296296297E-2</v>
      </c>
      <c r="P193" t="s">
        <v>31</v>
      </c>
      <c r="Q193" s="2">
        <v>3.0515046296296297E-2</v>
      </c>
      <c r="T193" t="s">
        <v>382</v>
      </c>
      <c r="V193" s="2">
        <v>3.0679398148148147E-2</v>
      </c>
      <c r="W193" t="s">
        <v>32</v>
      </c>
      <c r="X193" t="s">
        <v>368</v>
      </c>
    </row>
    <row r="194" spans="1:24" x14ac:dyDescent="0.3">
      <c r="A194" t="s">
        <v>383</v>
      </c>
      <c r="B194" t="s">
        <v>366</v>
      </c>
      <c r="C194" t="s">
        <v>26</v>
      </c>
      <c r="D194">
        <v>-61338.62</v>
      </c>
      <c r="E194">
        <v>-45713.73</v>
      </c>
      <c r="F194">
        <v>-61338.62</v>
      </c>
      <c r="H194">
        <v>3302000</v>
      </c>
      <c r="I194" t="s">
        <v>279</v>
      </c>
      <c r="J194" t="s">
        <v>29</v>
      </c>
      <c r="K194" t="s">
        <v>30</v>
      </c>
      <c r="M194" s="1">
        <v>45658</v>
      </c>
      <c r="O194" s="2">
        <v>3.0515046296296297E-2</v>
      </c>
      <c r="P194" t="s">
        <v>31</v>
      </c>
      <c r="Q194" s="2">
        <v>3.0515046296296297E-2</v>
      </c>
      <c r="T194" t="s">
        <v>384</v>
      </c>
      <c r="V194" s="2">
        <v>3.0679398148148147E-2</v>
      </c>
      <c r="W194" t="s">
        <v>32</v>
      </c>
      <c r="X194" t="s">
        <v>368</v>
      </c>
    </row>
    <row r="195" spans="1:24" x14ac:dyDescent="0.3">
      <c r="A195" t="s">
        <v>385</v>
      </c>
      <c r="B195" t="s">
        <v>366</v>
      </c>
      <c r="C195" t="s">
        <v>26</v>
      </c>
      <c r="D195">
        <v>-198653.52</v>
      </c>
      <c r="E195">
        <v>-148999.96</v>
      </c>
      <c r="F195">
        <v>-198653.52</v>
      </c>
      <c r="H195">
        <v>3302000</v>
      </c>
      <c r="I195" t="s">
        <v>279</v>
      </c>
      <c r="J195" t="s">
        <v>29</v>
      </c>
      <c r="K195" t="s">
        <v>30</v>
      </c>
      <c r="M195" s="1">
        <v>45658</v>
      </c>
      <c r="O195" s="2">
        <v>3.0515046296296297E-2</v>
      </c>
      <c r="P195" t="s">
        <v>31</v>
      </c>
      <c r="Q195" s="2">
        <v>3.0515046296296297E-2</v>
      </c>
      <c r="T195" t="s">
        <v>386</v>
      </c>
      <c r="V195" s="2">
        <v>3.0679398148148147E-2</v>
      </c>
      <c r="W195" t="s">
        <v>32</v>
      </c>
      <c r="X195" t="s">
        <v>368</v>
      </c>
    </row>
    <row r="196" spans="1:24" x14ac:dyDescent="0.3">
      <c r="A196" t="s">
        <v>387</v>
      </c>
      <c r="B196" t="s">
        <v>366</v>
      </c>
      <c r="C196" t="s">
        <v>26</v>
      </c>
      <c r="D196">
        <v>252023</v>
      </c>
      <c r="E196">
        <v>189049.61</v>
      </c>
      <c r="F196">
        <v>252023</v>
      </c>
      <c r="H196">
        <v>3302000</v>
      </c>
      <c r="I196" t="s">
        <v>279</v>
      </c>
      <c r="J196" t="s">
        <v>29</v>
      </c>
      <c r="K196" t="s">
        <v>30</v>
      </c>
      <c r="M196" s="1">
        <v>45658</v>
      </c>
      <c r="O196" s="2">
        <v>3.0515046296296297E-2</v>
      </c>
      <c r="P196" t="s">
        <v>31</v>
      </c>
      <c r="Q196" s="2">
        <v>3.0515046296296297E-2</v>
      </c>
      <c r="V196" s="2">
        <v>3.0679398148148147E-2</v>
      </c>
      <c r="W196" t="s">
        <v>32</v>
      </c>
      <c r="X196" t="s">
        <v>368</v>
      </c>
    </row>
    <row r="197" spans="1:24" x14ac:dyDescent="0.3">
      <c r="A197" t="s">
        <v>388</v>
      </c>
      <c r="B197" t="s">
        <v>366</v>
      </c>
      <c r="C197" t="s">
        <v>26</v>
      </c>
      <c r="D197">
        <v>-139243.79999999999</v>
      </c>
      <c r="E197">
        <v>-104414.23</v>
      </c>
      <c r="F197">
        <v>-139243.79999999999</v>
      </c>
      <c r="H197">
        <v>3302000</v>
      </c>
      <c r="I197" t="s">
        <v>279</v>
      </c>
      <c r="J197" t="s">
        <v>29</v>
      </c>
      <c r="K197" t="s">
        <v>30</v>
      </c>
      <c r="M197" s="1">
        <v>45658</v>
      </c>
      <c r="O197" s="2">
        <v>3.0515046296296297E-2</v>
      </c>
      <c r="P197" t="s">
        <v>31</v>
      </c>
      <c r="Q197" s="2">
        <v>3.0515046296296297E-2</v>
      </c>
      <c r="R197" t="s">
        <v>192</v>
      </c>
      <c r="S197" t="s">
        <v>193</v>
      </c>
      <c r="V197" s="2">
        <v>3.0679398148148147E-2</v>
      </c>
      <c r="W197" t="s">
        <v>32</v>
      </c>
      <c r="X197" t="s">
        <v>368</v>
      </c>
    </row>
    <row r="198" spans="1:24" x14ac:dyDescent="0.3">
      <c r="A198" t="s">
        <v>389</v>
      </c>
      <c r="B198" t="s">
        <v>366</v>
      </c>
      <c r="C198" t="s">
        <v>26</v>
      </c>
      <c r="D198">
        <v>-123758.37</v>
      </c>
      <c r="E198">
        <v>-92804.78</v>
      </c>
      <c r="F198">
        <v>-123758.37</v>
      </c>
      <c r="H198">
        <v>3302000</v>
      </c>
      <c r="I198" t="s">
        <v>279</v>
      </c>
      <c r="J198" t="s">
        <v>29</v>
      </c>
      <c r="K198" t="s">
        <v>30</v>
      </c>
      <c r="M198" s="1">
        <v>45658</v>
      </c>
      <c r="O198" s="2">
        <v>3.0515046296296297E-2</v>
      </c>
      <c r="P198" t="s">
        <v>31</v>
      </c>
      <c r="Q198" s="2">
        <v>3.0515046296296297E-2</v>
      </c>
      <c r="R198" t="s">
        <v>61</v>
      </c>
      <c r="S198" t="s">
        <v>62</v>
      </c>
      <c r="V198" s="2">
        <v>3.0679398148148147E-2</v>
      </c>
      <c r="W198" t="s">
        <v>32</v>
      </c>
      <c r="X198" t="s">
        <v>368</v>
      </c>
    </row>
    <row r="199" spans="1:24" x14ac:dyDescent="0.3">
      <c r="A199" t="s">
        <v>390</v>
      </c>
      <c r="B199" t="s">
        <v>366</v>
      </c>
      <c r="C199" t="s">
        <v>26</v>
      </c>
      <c r="D199">
        <v>-292054.65000000002</v>
      </c>
      <c r="E199">
        <v>-217490.24</v>
      </c>
      <c r="F199">
        <v>-292054.65000000002</v>
      </c>
      <c r="H199">
        <v>3302000</v>
      </c>
      <c r="I199" t="s">
        <v>279</v>
      </c>
      <c r="J199" t="s">
        <v>29</v>
      </c>
      <c r="K199" t="s">
        <v>30</v>
      </c>
      <c r="M199" s="1">
        <v>45658</v>
      </c>
      <c r="O199" s="2">
        <v>3.0515046296296297E-2</v>
      </c>
      <c r="P199" t="s">
        <v>31</v>
      </c>
      <c r="Q199" s="2">
        <v>3.0515046296296297E-2</v>
      </c>
      <c r="R199" t="s">
        <v>64</v>
      </c>
      <c r="S199" t="s">
        <v>65</v>
      </c>
      <c r="V199" s="2">
        <v>3.0679398148148147E-2</v>
      </c>
      <c r="W199" t="s">
        <v>32</v>
      </c>
      <c r="X199" t="s">
        <v>368</v>
      </c>
    </row>
    <row r="200" spans="1:24" x14ac:dyDescent="0.3">
      <c r="A200" t="s">
        <v>391</v>
      </c>
      <c r="B200" t="s">
        <v>366</v>
      </c>
      <c r="C200" t="s">
        <v>26</v>
      </c>
      <c r="D200">
        <v>-211442.66</v>
      </c>
      <c r="E200">
        <v>-158023.09</v>
      </c>
      <c r="F200">
        <v>-211442.66</v>
      </c>
      <c r="H200">
        <v>3302000</v>
      </c>
      <c r="I200" t="s">
        <v>279</v>
      </c>
      <c r="J200" t="s">
        <v>29</v>
      </c>
      <c r="K200" t="s">
        <v>30</v>
      </c>
      <c r="M200" s="1">
        <v>45658</v>
      </c>
      <c r="O200" s="2">
        <v>3.0515046296296297E-2</v>
      </c>
      <c r="P200" t="s">
        <v>31</v>
      </c>
      <c r="Q200" s="2">
        <v>3.0515046296296297E-2</v>
      </c>
      <c r="R200" t="s">
        <v>67</v>
      </c>
      <c r="S200" t="s">
        <v>68</v>
      </c>
      <c r="V200" s="2">
        <v>3.0679398148148147E-2</v>
      </c>
      <c r="W200" t="s">
        <v>32</v>
      </c>
      <c r="X200" t="s">
        <v>368</v>
      </c>
    </row>
    <row r="201" spans="1:24" x14ac:dyDescent="0.3">
      <c r="A201" t="s">
        <v>392</v>
      </c>
      <c r="B201" t="s">
        <v>366</v>
      </c>
      <c r="C201" t="s">
        <v>26</v>
      </c>
      <c r="D201">
        <v>2234.9499999999998</v>
      </c>
      <c r="E201">
        <v>1650</v>
      </c>
      <c r="F201">
        <v>2234.9499999999998</v>
      </c>
      <c r="H201">
        <v>3302000</v>
      </c>
      <c r="I201" t="s">
        <v>279</v>
      </c>
      <c r="J201" t="s">
        <v>29</v>
      </c>
      <c r="K201" t="s">
        <v>30</v>
      </c>
      <c r="M201" s="1">
        <v>45658</v>
      </c>
      <c r="O201" s="2">
        <v>3.0515046296296297E-2</v>
      </c>
      <c r="P201" t="s">
        <v>31</v>
      </c>
      <c r="Q201" s="2">
        <v>3.0515046296296297E-2</v>
      </c>
      <c r="R201" t="s">
        <v>197</v>
      </c>
      <c r="S201" t="s">
        <v>198</v>
      </c>
      <c r="V201" s="2">
        <v>3.0679398148148147E-2</v>
      </c>
      <c r="W201" t="s">
        <v>32</v>
      </c>
      <c r="X201" t="s">
        <v>368</v>
      </c>
    </row>
    <row r="202" spans="1:24" x14ac:dyDescent="0.3">
      <c r="A202" t="s">
        <v>393</v>
      </c>
      <c r="B202" t="s">
        <v>366</v>
      </c>
      <c r="C202" t="s">
        <v>26</v>
      </c>
      <c r="D202">
        <v>-67541.5</v>
      </c>
      <c r="E202">
        <v>-51483.87</v>
      </c>
      <c r="F202">
        <v>-67541.5</v>
      </c>
      <c r="H202">
        <v>3302000</v>
      </c>
      <c r="I202" t="s">
        <v>279</v>
      </c>
      <c r="J202" t="s">
        <v>29</v>
      </c>
      <c r="K202" t="s">
        <v>30</v>
      </c>
      <c r="M202" s="1">
        <v>45658</v>
      </c>
      <c r="O202" s="2">
        <v>3.0515046296296297E-2</v>
      </c>
      <c r="P202" t="s">
        <v>31</v>
      </c>
      <c r="Q202" s="2">
        <v>3.0515046296296297E-2</v>
      </c>
      <c r="T202" t="s">
        <v>394</v>
      </c>
      <c r="V202" s="2">
        <v>3.0679398148148147E-2</v>
      </c>
      <c r="W202" t="s">
        <v>32</v>
      </c>
      <c r="X202" t="s">
        <v>368</v>
      </c>
    </row>
    <row r="203" spans="1:24" x14ac:dyDescent="0.3">
      <c r="A203" t="s">
        <v>395</v>
      </c>
      <c r="B203" t="s">
        <v>366</v>
      </c>
      <c r="C203" t="s">
        <v>26</v>
      </c>
      <c r="D203">
        <v>-351262.77</v>
      </c>
      <c r="E203">
        <v>-263162.71999999997</v>
      </c>
      <c r="F203">
        <v>-351262.77</v>
      </c>
      <c r="H203">
        <v>3302000</v>
      </c>
      <c r="I203" t="s">
        <v>279</v>
      </c>
      <c r="J203" t="s">
        <v>29</v>
      </c>
      <c r="K203" t="s">
        <v>30</v>
      </c>
      <c r="M203" s="1">
        <v>45658</v>
      </c>
      <c r="O203" s="2">
        <v>3.0515046296296297E-2</v>
      </c>
      <c r="P203" t="s">
        <v>31</v>
      </c>
      <c r="Q203" s="2">
        <v>3.0515046296296297E-2</v>
      </c>
      <c r="R203" t="s">
        <v>73</v>
      </c>
      <c r="S203" t="s">
        <v>74</v>
      </c>
      <c r="V203" s="2">
        <v>3.0679398148148147E-2</v>
      </c>
      <c r="W203" t="s">
        <v>32</v>
      </c>
      <c r="X203" t="s">
        <v>368</v>
      </c>
    </row>
    <row r="204" spans="1:24" x14ac:dyDescent="0.3">
      <c r="A204" t="s">
        <v>396</v>
      </c>
      <c r="B204" t="s">
        <v>366</v>
      </c>
      <c r="C204" t="s">
        <v>26</v>
      </c>
      <c r="D204">
        <v>30671.43</v>
      </c>
      <c r="E204">
        <v>22988.29</v>
      </c>
      <c r="F204">
        <v>30671.43</v>
      </c>
      <c r="H204">
        <v>3302000</v>
      </c>
      <c r="I204" t="s">
        <v>279</v>
      </c>
      <c r="J204" t="s">
        <v>29</v>
      </c>
      <c r="K204" t="s">
        <v>30</v>
      </c>
      <c r="M204" s="1">
        <v>45658</v>
      </c>
      <c r="O204" s="2">
        <v>3.0515046296296297E-2</v>
      </c>
      <c r="P204" t="s">
        <v>31</v>
      </c>
      <c r="Q204" s="2">
        <v>3.0515046296296297E-2</v>
      </c>
      <c r="V204" s="2">
        <v>3.0679398148148147E-2</v>
      </c>
      <c r="W204" t="s">
        <v>32</v>
      </c>
      <c r="X204" t="s">
        <v>368</v>
      </c>
    </row>
    <row r="205" spans="1:24" x14ac:dyDescent="0.3">
      <c r="A205" t="s">
        <v>397</v>
      </c>
      <c r="B205" t="s">
        <v>366</v>
      </c>
      <c r="C205" t="s">
        <v>26</v>
      </c>
      <c r="D205">
        <v>20799.75</v>
      </c>
      <c r="E205">
        <v>15588.83</v>
      </c>
      <c r="F205">
        <v>20799.75</v>
      </c>
      <c r="H205">
        <v>3302000</v>
      </c>
      <c r="I205" t="s">
        <v>279</v>
      </c>
      <c r="J205" t="s">
        <v>29</v>
      </c>
      <c r="K205" t="s">
        <v>30</v>
      </c>
      <c r="M205" s="1">
        <v>45658</v>
      </c>
      <c r="O205" s="2">
        <v>3.0515046296296297E-2</v>
      </c>
      <c r="P205" t="s">
        <v>31</v>
      </c>
      <c r="Q205" s="2">
        <v>3.0515046296296297E-2</v>
      </c>
      <c r="V205" s="2">
        <v>3.0679398148148147E-2</v>
      </c>
      <c r="W205" t="s">
        <v>32</v>
      </c>
      <c r="X205" t="s">
        <v>368</v>
      </c>
    </row>
    <row r="206" spans="1:24" x14ac:dyDescent="0.3">
      <c r="A206" t="s">
        <v>398</v>
      </c>
      <c r="B206" t="s">
        <v>366</v>
      </c>
      <c r="C206" t="s">
        <v>26</v>
      </c>
      <c r="D206">
        <v>610828.56000000006</v>
      </c>
      <c r="E206">
        <v>457789.03</v>
      </c>
      <c r="F206">
        <v>610828.56000000006</v>
      </c>
      <c r="H206">
        <v>3302000</v>
      </c>
      <c r="I206" t="s">
        <v>279</v>
      </c>
      <c r="J206" t="s">
        <v>29</v>
      </c>
      <c r="K206" t="s">
        <v>30</v>
      </c>
      <c r="M206" s="1">
        <v>45658</v>
      </c>
      <c r="O206" s="2">
        <v>3.0515046296296297E-2</v>
      </c>
      <c r="P206" t="s">
        <v>31</v>
      </c>
      <c r="Q206" s="2">
        <v>3.0515046296296297E-2</v>
      </c>
      <c r="V206" s="2">
        <v>3.0679398148148147E-2</v>
      </c>
      <c r="W206" t="s">
        <v>32</v>
      </c>
      <c r="X206" t="s">
        <v>368</v>
      </c>
    </row>
    <row r="207" spans="1:24" x14ac:dyDescent="0.3">
      <c r="A207" t="s">
        <v>399</v>
      </c>
      <c r="B207" t="s">
        <v>366</v>
      </c>
      <c r="C207" t="s">
        <v>26</v>
      </c>
      <c r="D207">
        <v>2713.23</v>
      </c>
      <c r="E207">
        <v>2020.57</v>
      </c>
      <c r="F207">
        <v>2713.23</v>
      </c>
      <c r="H207">
        <v>3302000</v>
      </c>
      <c r="I207" t="s">
        <v>279</v>
      </c>
      <c r="J207" t="s">
        <v>29</v>
      </c>
      <c r="K207" t="s">
        <v>30</v>
      </c>
      <c r="M207" s="1">
        <v>45658</v>
      </c>
      <c r="O207" s="2">
        <v>3.0515046296296297E-2</v>
      </c>
      <c r="P207" t="s">
        <v>31</v>
      </c>
      <c r="Q207" s="2">
        <v>3.0515046296296297E-2</v>
      </c>
      <c r="R207" t="s">
        <v>200</v>
      </c>
      <c r="S207" t="s">
        <v>201</v>
      </c>
      <c r="V207" s="2">
        <v>3.0679398148148147E-2</v>
      </c>
      <c r="W207" t="s">
        <v>32</v>
      </c>
      <c r="X207" t="s">
        <v>368</v>
      </c>
    </row>
    <row r="208" spans="1:24" x14ac:dyDescent="0.3">
      <c r="A208" t="s">
        <v>400</v>
      </c>
      <c r="B208" t="s">
        <v>366</v>
      </c>
      <c r="C208" t="s">
        <v>26</v>
      </c>
      <c r="D208">
        <v>-15221.19</v>
      </c>
      <c r="E208">
        <v>-11452.21</v>
      </c>
      <c r="F208">
        <v>-15221.19</v>
      </c>
      <c r="H208">
        <v>3302000</v>
      </c>
      <c r="I208" t="s">
        <v>279</v>
      </c>
      <c r="J208" t="s">
        <v>29</v>
      </c>
      <c r="K208" t="s">
        <v>30</v>
      </c>
      <c r="M208" s="1">
        <v>45658</v>
      </c>
      <c r="O208" s="2">
        <v>3.0515046296296297E-2</v>
      </c>
      <c r="P208" t="s">
        <v>31</v>
      </c>
      <c r="Q208" s="2">
        <v>3.0515046296296297E-2</v>
      </c>
      <c r="R208" t="s">
        <v>76</v>
      </c>
      <c r="S208" t="s">
        <v>77</v>
      </c>
      <c r="V208" s="2">
        <v>3.0679398148148147E-2</v>
      </c>
      <c r="W208" t="s">
        <v>32</v>
      </c>
      <c r="X208" t="s">
        <v>368</v>
      </c>
    </row>
    <row r="209" spans="1:24" x14ac:dyDescent="0.3">
      <c r="A209" t="s">
        <v>401</v>
      </c>
      <c r="B209" t="s">
        <v>366</v>
      </c>
      <c r="C209" t="s">
        <v>26</v>
      </c>
      <c r="D209">
        <v>92466.02</v>
      </c>
      <c r="E209">
        <v>69253</v>
      </c>
      <c r="F209">
        <v>92466.02</v>
      </c>
      <c r="H209">
        <v>3302000</v>
      </c>
      <c r="I209" t="s">
        <v>279</v>
      </c>
      <c r="J209" t="s">
        <v>29</v>
      </c>
      <c r="K209" t="s">
        <v>30</v>
      </c>
      <c r="M209" s="1">
        <v>45658</v>
      </c>
      <c r="O209" s="2">
        <v>3.0515046296296297E-2</v>
      </c>
      <c r="P209" t="s">
        <v>31</v>
      </c>
      <c r="Q209" s="2">
        <v>3.0515046296296297E-2</v>
      </c>
      <c r="R209" t="s">
        <v>203</v>
      </c>
      <c r="S209" t="s">
        <v>204</v>
      </c>
      <c r="V209" s="2">
        <v>3.0679398148148147E-2</v>
      </c>
      <c r="W209" t="s">
        <v>32</v>
      </c>
      <c r="X209" t="s">
        <v>368</v>
      </c>
    </row>
    <row r="210" spans="1:24" x14ac:dyDescent="0.3">
      <c r="A210" t="s">
        <v>402</v>
      </c>
      <c r="B210" t="s">
        <v>366</v>
      </c>
      <c r="C210" t="s">
        <v>26</v>
      </c>
      <c r="D210">
        <v>-248368.96</v>
      </c>
      <c r="E210">
        <v>-185681.07</v>
      </c>
      <c r="F210">
        <v>-248368.96</v>
      </c>
      <c r="H210">
        <v>3302000</v>
      </c>
      <c r="I210" t="s">
        <v>279</v>
      </c>
      <c r="J210" t="s">
        <v>29</v>
      </c>
      <c r="K210" t="s">
        <v>30</v>
      </c>
      <c r="M210" s="1">
        <v>45658</v>
      </c>
      <c r="O210" s="2">
        <v>3.0515046296296297E-2</v>
      </c>
      <c r="P210" t="s">
        <v>31</v>
      </c>
      <c r="Q210" s="2">
        <v>3.0515046296296297E-2</v>
      </c>
      <c r="R210" t="s">
        <v>234</v>
      </c>
      <c r="S210" t="s">
        <v>235</v>
      </c>
      <c r="V210" s="2">
        <v>3.0679398148148147E-2</v>
      </c>
      <c r="W210" t="s">
        <v>32</v>
      </c>
      <c r="X210" t="s">
        <v>368</v>
      </c>
    </row>
    <row r="211" spans="1:24" x14ac:dyDescent="0.3">
      <c r="A211" t="s">
        <v>403</v>
      </c>
      <c r="B211" t="s">
        <v>366</v>
      </c>
      <c r="C211" t="s">
        <v>26</v>
      </c>
      <c r="D211">
        <v>-140456.28</v>
      </c>
      <c r="E211">
        <v>-105309.84</v>
      </c>
      <c r="F211">
        <v>-140456.28</v>
      </c>
      <c r="H211">
        <v>3302000</v>
      </c>
      <c r="I211" t="s">
        <v>279</v>
      </c>
      <c r="J211" t="s">
        <v>29</v>
      </c>
      <c r="K211" t="s">
        <v>30</v>
      </c>
      <c r="M211" s="1">
        <v>45658</v>
      </c>
      <c r="O211" s="2">
        <v>3.0515046296296297E-2</v>
      </c>
      <c r="P211" t="s">
        <v>31</v>
      </c>
      <c r="Q211" s="2">
        <v>3.0515046296296297E-2</v>
      </c>
      <c r="R211" t="s">
        <v>237</v>
      </c>
      <c r="S211" t="s">
        <v>238</v>
      </c>
      <c r="V211" s="2">
        <v>3.0679398148148147E-2</v>
      </c>
      <c r="W211" t="s">
        <v>32</v>
      </c>
      <c r="X211" t="s">
        <v>368</v>
      </c>
    </row>
    <row r="212" spans="1:24" x14ac:dyDescent="0.3">
      <c r="A212" t="s">
        <v>404</v>
      </c>
      <c r="B212" t="s">
        <v>366</v>
      </c>
      <c r="C212" t="s">
        <v>26</v>
      </c>
      <c r="D212">
        <v>-18127.8</v>
      </c>
      <c r="E212">
        <v>-13500</v>
      </c>
      <c r="F212">
        <v>-18127.8</v>
      </c>
      <c r="H212">
        <v>3302000</v>
      </c>
      <c r="I212" t="s">
        <v>279</v>
      </c>
      <c r="J212" t="s">
        <v>29</v>
      </c>
      <c r="K212" t="s">
        <v>30</v>
      </c>
      <c r="M212" s="1">
        <v>45658</v>
      </c>
      <c r="O212" s="2">
        <v>3.0515046296296297E-2</v>
      </c>
      <c r="P212" t="s">
        <v>31</v>
      </c>
      <c r="Q212" s="2">
        <v>3.0515046296296297E-2</v>
      </c>
      <c r="R212" t="s">
        <v>207</v>
      </c>
      <c r="S212" t="s">
        <v>208</v>
      </c>
      <c r="V212" s="2">
        <v>3.0679398148148147E-2</v>
      </c>
      <c r="W212" t="s">
        <v>32</v>
      </c>
      <c r="X212" t="s">
        <v>368</v>
      </c>
    </row>
    <row r="213" spans="1:24" x14ac:dyDescent="0.3">
      <c r="A213" t="s">
        <v>405</v>
      </c>
      <c r="B213" t="s">
        <v>366</v>
      </c>
      <c r="C213" t="s">
        <v>26</v>
      </c>
      <c r="D213">
        <v>-283910.84999999998</v>
      </c>
      <c r="E213">
        <v>-212432.18</v>
      </c>
      <c r="F213">
        <v>-283910.84999999998</v>
      </c>
      <c r="H213">
        <v>3302000</v>
      </c>
      <c r="I213" t="s">
        <v>279</v>
      </c>
      <c r="J213" t="s">
        <v>29</v>
      </c>
      <c r="K213" t="s">
        <v>30</v>
      </c>
      <c r="M213" s="1">
        <v>45658</v>
      </c>
      <c r="O213" s="2">
        <v>3.0515046296296297E-2</v>
      </c>
      <c r="P213" t="s">
        <v>31</v>
      </c>
      <c r="Q213" s="2">
        <v>3.0515046296296297E-2</v>
      </c>
      <c r="R213" t="s">
        <v>85</v>
      </c>
      <c r="S213" t="s">
        <v>86</v>
      </c>
      <c r="V213" s="2">
        <v>3.0679398148148147E-2</v>
      </c>
      <c r="W213" t="s">
        <v>32</v>
      </c>
      <c r="X213" t="s">
        <v>368</v>
      </c>
    </row>
    <row r="214" spans="1:24" x14ac:dyDescent="0.3">
      <c r="A214" t="s">
        <v>406</v>
      </c>
      <c r="B214" t="s">
        <v>366</v>
      </c>
      <c r="C214" t="s">
        <v>26</v>
      </c>
      <c r="D214">
        <v>105458.63</v>
      </c>
      <c r="E214">
        <v>79631.03</v>
      </c>
      <c r="F214">
        <v>105458.63</v>
      </c>
      <c r="H214">
        <v>3302000</v>
      </c>
      <c r="I214" t="s">
        <v>279</v>
      </c>
      <c r="J214" t="s">
        <v>29</v>
      </c>
      <c r="K214" t="s">
        <v>30</v>
      </c>
      <c r="M214" s="1">
        <v>45658</v>
      </c>
      <c r="O214" s="2">
        <v>3.0515046296296297E-2</v>
      </c>
      <c r="P214" t="s">
        <v>31</v>
      </c>
      <c r="Q214" s="2">
        <v>3.0515046296296297E-2</v>
      </c>
      <c r="R214" t="s">
        <v>88</v>
      </c>
      <c r="S214" t="s">
        <v>89</v>
      </c>
      <c r="V214" s="2">
        <v>3.0679398148148147E-2</v>
      </c>
      <c r="W214" t="s">
        <v>32</v>
      </c>
      <c r="X214" t="s">
        <v>368</v>
      </c>
    </row>
    <row r="215" spans="1:24" x14ac:dyDescent="0.3">
      <c r="A215" t="s">
        <v>407</v>
      </c>
      <c r="B215" t="s">
        <v>366</v>
      </c>
      <c r="C215" t="s">
        <v>26</v>
      </c>
      <c r="D215">
        <v>454862.05</v>
      </c>
      <c r="E215">
        <v>338940</v>
      </c>
      <c r="F215">
        <v>454862.05</v>
      </c>
      <c r="H215">
        <v>3302000</v>
      </c>
      <c r="I215" t="s">
        <v>279</v>
      </c>
      <c r="J215" t="s">
        <v>29</v>
      </c>
      <c r="K215" t="s">
        <v>30</v>
      </c>
      <c r="M215" s="1">
        <v>45658</v>
      </c>
      <c r="O215" s="2">
        <v>3.0515046296296297E-2</v>
      </c>
      <c r="P215" t="s">
        <v>31</v>
      </c>
      <c r="Q215" s="2">
        <v>3.0515046296296297E-2</v>
      </c>
      <c r="R215" t="s">
        <v>91</v>
      </c>
      <c r="S215" t="s">
        <v>92</v>
      </c>
      <c r="V215" s="2">
        <v>3.0679398148148147E-2</v>
      </c>
      <c r="W215" t="s">
        <v>32</v>
      </c>
      <c r="X215" t="s">
        <v>368</v>
      </c>
    </row>
    <row r="216" spans="1:24" x14ac:dyDescent="0.3">
      <c r="A216" t="s">
        <v>408</v>
      </c>
      <c r="B216" t="s">
        <v>366</v>
      </c>
      <c r="C216" t="s">
        <v>26</v>
      </c>
      <c r="D216">
        <v>3170.43</v>
      </c>
      <c r="E216">
        <v>2350</v>
      </c>
      <c r="F216">
        <v>3170.43</v>
      </c>
      <c r="H216">
        <v>3302000</v>
      </c>
      <c r="I216" t="s">
        <v>279</v>
      </c>
      <c r="J216" t="s">
        <v>29</v>
      </c>
      <c r="K216" t="s">
        <v>30</v>
      </c>
      <c r="M216" s="1">
        <v>45658</v>
      </c>
      <c r="O216" s="2">
        <v>3.0515046296296297E-2</v>
      </c>
      <c r="P216" t="s">
        <v>31</v>
      </c>
      <c r="Q216" s="2">
        <v>3.0515046296296297E-2</v>
      </c>
      <c r="R216" t="s">
        <v>409</v>
      </c>
      <c r="S216" t="s">
        <v>410</v>
      </c>
      <c r="V216" s="2">
        <v>3.0679398148148147E-2</v>
      </c>
      <c r="W216" t="s">
        <v>32</v>
      </c>
      <c r="X216" t="s">
        <v>368</v>
      </c>
    </row>
    <row r="217" spans="1:24" x14ac:dyDescent="0.3">
      <c r="A217" t="s">
        <v>411</v>
      </c>
      <c r="B217" t="s">
        <v>366</v>
      </c>
      <c r="C217" t="s">
        <v>26</v>
      </c>
      <c r="D217">
        <v>18099.18</v>
      </c>
      <c r="E217">
        <v>13771.23</v>
      </c>
      <c r="F217">
        <v>18099.18</v>
      </c>
      <c r="H217">
        <v>3302000</v>
      </c>
      <c r="I217" t="s">
        <v>279</v>
      </c>
      <c r="J217" t="s">
        <v>29</v>
      </c>
      <c r="K217" t="s">
        <v>30</v>
      </c>
      <c r="M217" s="1">
        <v>45658</v>
      </c>
      <c r="O217" s="2">
        <v>3.0515046296296297E-2</v>
      </c>
      <c r="P217" t="s">
        <v>31</v>
      </c>
      <c r="Q217" s="2">
        <v>3.0515046296296297E-2</v>
      </c>
      <c r="R217" t="s">
        <v>94</v>
      </c>
      <c r="S217" t="s">
        <v>95</v>
      </c>
      <c r="V217" s="2">
        <v>3.0679398148148147E-2</v>
      </c>
      <c r="W217" t="s">
        <v>32</v>
      </c>
      <c r="X217" t="s">
        <v>368</v>
      </c>
    </row>
    <row r="218" spans="1:24" x14ac:dyDescent="0.3">
      <c r="A218" t="s">
        <v>412</v>
      </c>
      <c r="B218" t="s">
        <v>366</v>
      </c>
      <c r="C218" t="s">
        <v>26</v>
      </c>
      <c r="D218">
        <v>-100823.8</v>
      </c>
      <c r="E218">
        <v>-75217.66</v>
      </c>
      <c r="F218">
        <v>-100823.8</v>
      </c>
      <c r="H218">
        <v>3302000</v>
      </c>
      <c r="I218" t="s">
        <v>279</v>
      </c>
      <c r="J218" t="s">
        <v>29</v>
      </c>
      <c r="K218" t="s">
        <v>30</v>
      </c>
      <c r="M218" s="1">
        <v>45658</v>
      </c>
      <c r="O218" s="2">
        <v>3.0515046296296297E-2</v>
      </c>
      <c r="P218" t="s">
        <v>31</v>
      </c>
      <c r="Q218" s="2">
        <v>3.0515046296296297E-2</v>
      </c>
      <c r="R218" t="s">
        <v>97</v>
      </c>
      <c r="S218" t="s">
        <v>98</v>
      </c>
      <c r="V218" s="2">
        <v>3.0679398148148147E-2</v>
      </c>
      <c r="W218" t="s">
        <v>32</v>
      </c>
      <c r="X218" t="s">
        <v>368</v>
      </c>
    </row>
    <row r="219" spans="1:24" x14ac:dyDescent="0.3">
      <c r="A219" t="s">
        <v>413</v>
      </c>
      <c r="B219" t="s">
        <v>366</v>
      </c>
      <c r="C219" t="s">
        <v>26</v>
      </c>
      <c r="D219">
        <v>1305341</v>
      </c>
      <c r="E219">
        <v>976729.31</v>
      </c>
      <c r="F219">
        <v>1305341</v>
      </c>
      <c r="H219">
        <v>3302000</v>
      </c>
      <c r="I219" t="s">
        <v>279</v>
      </c>
      <c r="J219" t="s">
        <v>29</v>
      </c>
      <c r="K219" t="s">
        <v>30</v>
      </c>
      <c r="M219" s="1">
        <v>45658</v>
      </c>
      <c r="O219" s="2">
        <v>3.0515046296296297E-2</v>
      </c>
      <c r="P219" t="s">
        <v>31</v>
      </c>
      <c r="Q219" s="2">
        <v>3.0515046296296297E-2</v>
      </c>
      <c r="R219" t="s">
        <v>100</v>
      </c>
      <c r="S219" t="s">
        <v>101</v>
      </c>
      <c r="V219" s="2">
        <v>3.0679398148148147E-2</v>
      </c>
      <c r="W219" t="s">
        <v>32</v>
      </c>
      <c r="X219" t="s">
        <v>368</v>
      </c>
    </row>
    <row r="220" spans="1:24" x14ac:dyDescent="0.3">
      <c r="A220" t="s">
        <v>414</v>
      </c>
      <c r="B220" t="s">
        <v>366</v>
      </c>
      <c r="C220" t="s">
        <v>26</v>
      </c>
      <c r="D220">
        <v>-12060.33</v>
      </c>
      <c r="E220">
        <v>-9152.68</v>
      </c>
      <c r="F220">
        <v>-12060.33</v>
      </c>
      <c r="H220">
        <v>3302000</v>
      </c>
      <c r="I220" t="s">
        <v>279</v>
      </c>
      <c r="J220" t="s">
        <v>29</v>
      </c>
      <c r="K220" t="s">
        <v>30</v>
      </c>
      <c r="M220" s="1">
        <v>45658</v>
      </c>
      <c r="O220" s="2">
        <v>3.0515046296296297E-2</v>
      </c>
      <c r="P220" t="s">
        <v>31</v>
      </c>
      <c r="Q220" s="2">
        <v>3.0515046296296297E-2</v>
      </c>
      <c r="R220" t="s">
        <v>103</v>
      </c>
      <c r="S220" t="s">
        <v>104</v>
      </c>
      <c r="V220" s="2">
        <v>3.0679398148148147E-2</v>
      </c>
      <c r="W220" t="s">
        <v>32</v>
      </c>
      <c r="X220" t="s">
        <v>368</v>
      </c>
    </row>
    <row r="221" spans="1:24" x14ac:dyDescent="0.3">
      <c r="A221" t="s">
        <v>415</v>
      </c>
      <c r="B221" t="s">
        <v>366</v>
      </c>
      <c r="C221" t="s">
        <v>26</v>
      </c>
      <c r="D221">
        <v>40967.089999999997</v>
      </c>
      <c r="E221">
        <v>30532.5</v>
      </c>
      <c r="F221">
        <v>40967.089999999997</v>
      </c>
      <c r="H221">
        <v>3302000</v>
      </c>
      <c r="I221" t="s">
        <v>279</v>
      </c>
      <c r="J221" t="s">
        <v>29</v>
      </c>
      <c r="K221" t="s">
        <v>30</v>
      </c>
      <c r="M221" s="1">
        <v>45658</v>
      </c>
      <c r="O221" s="2">
        <v>3.0515046296296297E-2</v>
      </c>
      <c r="P221" t="s">
        <v>31</v>
      </c>
      <c r="Q221" s="2">
        <v>3.0515046296296297E-2</v>
      </c>
      <c r="R221" t="s">
        <v>416</v>
      </c>
      <c r="S221" t="s">
        <v>417</v>
      </c>
      <c r="V221" s="2">
        <v>3.0679398148148147E-2</v>
      </c>
      <c r="W221" t="s">
        <v>32</v>
      </c>
      <c r="X221" t="s">
        <v>368</v>
      </c>
    </row>
    <row r="222" spans="1:24" x14ac:dyDescent="0.3">
      <c r="A222" t="s">
        <v>418</v>
      </c>
      <c r="B222" t="s">
        <v>366</v>
      </c>
      <c r="C222" t="s">
        <v>26</v>
      </c>
      <c r="D222">
        <v>-104117.1</v>
      </c>
      <c r="E222">
        <v>-77875.740000000005</v>
      </c>
      <c r="F222">
        <v>-104117.1</v>
      </c>
      <c r="H222">
        <v>3302000</v>
      </c>
      <c r="I222" t="s">
        <v>279</v>
      </c>
      <c r="J222" t="s">
        <v>29</v>
      </c>
      <c r="K222" t="s">
        <v>30</v>
      </c>
      <c r="M222" s="1">
        <v>45658</v>
      </c>
      <c r="O222" s="2">
        <v>3.0515046296296297E-2</v>
      </c>
      <c r="P222" t="s">
        <v>31</v>
      </c>
      <c r="Q222" s="2">
        <v>3.0515046296296297E-2</v>
      </c>
      <c r="R222" t="s">
        <v>106</v>
      </c>
      <c r="S222" t="s">
        <v>107</v>
      </c>
      <c r="V222" s="2">
        <v>3.0679398148148147E-2</v>
      </c>
      <c r="W222" t="s">
        <v>32</v>
      </c>
      <c r="X222" t="s">
        <v>368</v>
      </c>
    </row>
    <row r="223" spans="1:24" x14ac:dyDescent="0.3">
      <c r="A223" t="s">
        <v>419</v>
      </c>
      <c r="B223" t="s">
        <v>366</v>
      </c>
      <c r="C223" t="s">
        <v>26</v>
      </c>
      <c r="D223">
        <v>-144889.81</v>
      </c>
      <c r="E223">
        <v>-108314.36</v>
      </c>
      <c r="F223">
        <v>-144889.81</v>
      </c>
      <c r="H223">
        <v>3302000</v>
      </c>
      <c r="I223" t="s">
        <v>279</v>
      </c>
      <c r="J223" t="s">
        <v>29</v>
      </c>
      <c r="K223" t="s">
        <v>30</v>
      </c>
      <c r="M223" s="1">
        <v>45658</v>
      </c>
      <c r="O223" s="2">
        <v>3.0515046296296297E-2</v>
      </c>
      <c r="P223" t="s">
        <v>31</v>
      </c>
      <c r="Q223" s="2">
        <v>3.0515046296296297E-2</v>
      </c>
      <c r="R223" t="s">
        <v>109</v>
      </c>
      <c r="S223" t="s">
        <v>110</v>
      </c>
      <c r="V223" s="2">
        <v>3.0679398148148147E-2</v>
      </c>
      <c r="W223" t="s">
        <v>32</v>
      </c>
      <c r="X223" t="s">
        <v>368</v>
      </c>
    </row>
    <row r="224" spans="1:24" x14ac:dyDescent="0.3">
      <c r="A224" t="s">
        <v>420</v>
      </c>
      <c r="B224" t="s">
        <v>366</v>
      </c>
      <c r="C224" t="s">
        <v>26</v>
      </c>
      <c r="D224">
        <v>7112281.1299999999</v>
      </c>
      <c r="E224">
        <v>5332760.8</v>
      </c>
      <c r="F224">
        <v>7112281.1299999999</v>
      </c>
      <c r="H224">
        <v>3302000</v>
      </c>
      <c r="I224" t="s">
        <v>279</v>
      </c>
      <c r="J224" t="s">
        <v>29</v>
      </c>
      <c r="K224" t="s">
        <v>30</v>
      </c>
      <c r="M224" s="1">
        <v>45658</v>
      </c>
      <c r="O224" s="2">
        <v>3.0515046296296297E-2</v>
      </c>
      <c r="P224" t="s">
        <v>31</v>
      </c>
      <c r="Q224" s="2">
        <v>3.0515046296296297E-2</v>
      </c>
      <c r="R224" t="s">
        <v>138</v>
      </c>
      <c r="S224" t="s">
        <v>139</v>
      </c>
      <c r="V224" s="2">
        <v>3.0679398148148147E-2</v>
      </c>
      <c r="W224" t="s">
        <v>32</v>
      </c>
      <c r="X224" t="s">
        <v>368</v>
      </c>
    </row>
    <row r="225" spans="1:24" x14ac:dyDescent="0.3">
      <c r="A225" t="s">
        <v>421</v>
      </c>
      <c r="B225" t="s">
        <v>366</v>
      </c>
      <c r="C225" t="s">
        <v>26</v>
      </c>
      <c r="D225">
        <v>-824097.66</v>
      </c>
      <c r="E225">
        <v>-615229.16</v>
      </c>
      <c r="F225">
        <v>-824097.66</v>
      </c>
      <c r="H225">
        <v>3302000</v>
      </c>
      <c r="I225" t="s">
        <v>279</v>
      </c>
      <c r="J225" t="s">
        <v>29</v>
      </c>
      <c r="K225" t="s">
        <v>30</v>
      </c>
      <c r="M225" s="1">
        <v>45658</v>
      </c>
      <c r="O225" s="2">
        <v>3.0515046296296297E-2</v>
      </c>
      <c r="P225" t="s">
        <v>31</v>
      </c>
      <c r="Q225" s="2">
        <v>3.0515046296296297E-2</v>
      </c>
      <c r="R225" t="s">
        <v>143</v>
      </c>
      <c r="S225" t="s">
        <v>144</v>
      </c>
      <c r="V225" s="2">
        <v>3.0679398148148147E-2</v>
      </c>
      <c r="W225" t="s">
        <v>32</v>
      </c>
      <c r="X225" t="s">
        <v>368</v>
      </c>
    </row>
    <row r="226" spans="1:24" x14ac:dyDescent="0.3">
      <c r="A226" t="s">
        <v>422</v>
      </c>
      <c r="B226" t="s">
        <v>366</v>
      </c>
      <c r="C226" t="s">
        <v>26</v>
      </c>
      <c r="D226">
        <v>947.55</v>
      </c>
      <c r="E226">
        <v>705.65</v>
      </c>
      <c r="F226">
        <v>947.55</v>
      </c>
      <c r="H226">
        <v>3302000</v>
      </c>
      <c r="I226" t="s">
        <v>279</v>
      </c>
      <c r="J226" t="s">
        <v>29</v>
      </c>
      <c r="K226" t="s">
        <v>30</v>
      </c>
      <c r="M226" s="1">
        <v>45658</v>
      </c>
      <c r="O226" s="2">
        <v>3.0515046296296297E-2</v>
      </c>
      <c r="P226" t="s">
        <v>31</v>
      </c>
      <c r="Q226" s="2">
        <v>3.0515046296296297E-2</v>
      </c>
      <c r="R226" t="s">
        <v>152</v>
      </c>
      <c r="S226" t="s">
        <v>153</v>
      </c>
      <c r="V226" s="2">
        <v>3.0679398148148147E-2</v>
      </c>
      <c r="W226" t="s">
        <v>32</v>
      </c>
      <c r="X226" t="s">
        <v>368</v>
      </c>
    </row>
    <row r="227" spans="1:24" x14ac:dyDescent="0.3">
      <c r="A227" t="s">
        <v>423</v>
      </c>
      <c r="B227" t="s">
        <v>366</v>
      </c>
      <c r="C227" t="s">
        <v>26</v>
      </c>
      <c r="D227">
        <v>192756.61</v>
      </c>
      <c r="E227">
        <v>143335</v>
      </c>
      <c r="F227">
        <v>192756.61</v>
      </c>
      <c r="H227">
        <v>3302000</v>
      </c>
      <c r="I227" t="s">
        <v>279</v>
      </c>
      <c r="J227" t="s">
        <v>29</v>
      </c>
      <c r="K227" t="s">
        <v>30</v>
      </c>
      <c r="M227" s="1">
        <v>45658</v>
      </c>
      <c r="O227" s="2">
        <v>3.0515046296296297E-2</v>
      </c>
      <c r="P227" t="s">
        <v>31</v>
      </c>
      <c r="Q227" s="2">
        <v>3.0515046296296297E-2</v>
      </c>
      <c r="R227" t="s">
        <v>249</v>
      </c>
      <c r="S227" t="s">
        <v>250</v>
      </c>
      <c r="V227" s="2">
        <v>3.0679398148148147E-2</v>
      </c>
      <c r="W227" t="s">
        <v>32</v>
      </c>
      <c r="X227" t="s">
        <v>368</v>
      </c>
    </row>
    <row r="228" spans="1:24" x14ac:dyDescent="0.3">
      <c r="A228" t="s">
        <v>424</v>
      </c>
      <c r="B228" t="s">
        <v>366</v>
      </c>
      <c r="C228" t="s">
        <v>26</v>
      </c>
      <c r="D228">
        <v>-244517.44</v>
      </c>
      <c r="E228">
        <v>-183790.85</v>
      </c>
      <c r="F228">
        <v>-244517.44</v>
      </c>
      <c r="H228">
        <v>3302000</v>
      </c>
      <c r="I228" t="s">
        <v>279</v>
      </c>
      <c r="J228" t="s">
        <v>29</v>
      </c>
      <c r="K228" t="s">
        <v>30</v>
      </c>
      <c r="M228" s="1">
        <v>45658</v>
      </c>
      <c r="O228" s="2">
        <v>3.0515046296296297E-2</v>
      </c>
      <c r="P228" t="s">
        <v>31</v>
      </c>
      <c r="Q228" s="2">
        <v>3.0515046296296297E-2</v>
      </c>
      <c r="R228" t="s">
        <v>155</v>
      </c>
      <c r="S228" t="s">
        <v>156</v>
      </c>
      <c r="V228" s="2">
        <v>3.0679398148148147E-2</v>
      </c>
      <c r="W228" t="s">
        <v>32</v>
      </c>
      <c r="X228" t="s">
        <v>368</v>
      </c>
    </row>
    <row r="229" spans="1:24" x14ac:dyDescent="0.3">
      <c r="A229" t="s">
        <v>425</v>
      </c>
      <c r="B229" t="s">
        <v>366</v>
      </c>
      <c r="C229" t="s">
        <v>26</v>
      </c>
      <c r="D229">
        <v>0</v>
      </c>
      <c r="E229">
        <v>0</v>
      </c>
      <c r="F229">
        <v>0</v>
      </c>
      <c r="H229">
        <v>3302000</v>
      </c>
      <c r="I229" t="s">
        <v>279</v>
      </c>
      <c r="J229" t="s">
        <v>29</v>
      </c>
      <c r="K229" t="s">
        <v>30</v>
      </c>
      <c r="M229" s="1">
        <v>45658</v>
      </c>
      <c r="O229" s="2">
        <v>3.0515046296296297E-2</v>
      </c>
      <c r="P229" t="s">
        <v>31</v>
      </c>
      <c r="Q229" s="2">
        <v>3.0515046296296297E-2</v>
      </c>
      <c r="R229" t="s">
        <v>426</v>
      </c>
      <c r="S229" t="s">
        <v>427</v>
      </c>
      <c r="V229" s="2">
        <v>3.0679398148148147E-2</v>
      </c>
      <c r="W229" t="s">
        <v>32</v>
      </c>
      <c r="X229" t="s">
        <v>368</v>
      </c>
    </row>
    <row r="230" spans="1:24" x14ac:dyDescent="0.3">
      <c r="A230" t="s">
        <v>428</v>
      </c>
      <c r="B230" t="s">
        <v>366</v>
      </c>
      <c r="C230" t="s">
        <v>26</v>
      </c>
      <c r="D230">
        <v>-101922.54</v>
      </c>
      <c r="E230">
        <v>-76247.289999999994</v>
      </c>
      <c r="F230">
        <v>-101922.54</v>
      </c>
      <c r="H230">
        <v>3302000</v>
      </c>
      <c r="I230" t="s">
        <v>279</v>
      </c>
      <c r="J230" t="s">
        <v>29</v>
      </c>
      <c r="K230" t="s">
        <v>30</v>
      </c>
      <c r="M230" s="1">
        <v>45658</v>
      </c>
      <c r="O230" s="2">
        <v>3.0515046296296297E-2</v>
      </c>
      <c r="P230" t="s">
        <v>31</v>
      </c>
      <c r="Q230" s="2">
        <v>3.0515046296296297E-2</v>
      </c>
      <c r="R230" t="s">
        <v>158</v>
      </c>
      <c r="S230" t="s">
        <v>159</v>
      </c>
      <c r="V230" s="2">
        <v>3.0679398148148147E-2</v>
      </c>
      <c r="W230" t="s">
        <v>32</v>
      </c>
      <c r="X230" t="s">
        <v>368</v>
      </c>
    </row>
    <row r="231" spans="1:24" x14ac:dyDescent="0.3">
      <c r="A231" t="s">
        <v>429</v>
      </c>
      <c r="B231" t="s">
        <v>366</v>
      </c>
      <c r="C231" t="s">
        <v>26</v>
      </c>
      <c r="D231">
        <v>92354.2</v>
      </c>
      <c r="E231">
        <v>68821.990000000005</v>
      </c>
      <c r="F231">
        <v>92354.2</v>
      </c>
      <c r="H231">
        <v>3302000</v>
      </c>
      <c r="I231" t="s">
        <v>279</v>
      </c>
      <c r="J231" t="s">
        <v>29</v>
      </c>
      <c r="K231" t="s">
        <v>30</v>
      </c>
      <c r="M231" s="1">
        <v>45658</v>
      </c>
      <c r="O231" s="2">
        <v>3.0515046296296297E-2</v>
      </c>
      <c r="P231" t="s">
        <v>31</v>
      </c>
      <c r="Q231" s="2">
        <v>3.0515046296296297E-2</v>
      </c>
      <c r="R231" t="s">
        <v>161</v>
      </c>
      <c r="S231" t="s">
        <v>162</v>
      </c>
      <c r="V231" s="2">
        <v>3.0679398148148147E-2</v>
      </c>
      <c r="W231" t="s">
        <v>32</v>
      </c>
      <c r="X231" t="s">
        <v>368</v>
      </c>
    </row>
    <row r="232" spans="1:24" x14ac:dyDescent="0.3">
      <c r="A232" t="s">
        <v>430</v>
      </c>
      <c r="B232" t="s">
        <v>366</v>
      </c>
      <c r="C232" t="s">
        <v>26</v>
      </c>
      <c r="D232">
        <v>-500063.27</v>
      </c>
      <c r="E232">
        <v>-374770.21</v>
      </c>
      <c r="F232">
        <v>-500063.27</v>
      </c>
      <c r="H232">
        <v>3302000</v>
      </c>
      <c r="I232" t="s">
        <v>279</v>
      </c>
      <c r="J232" t="s">
        <v>29</v>
      </c>
      <c r="K232" t="s">
        <v>30</v>
      </c>
      <c r="M232" s="1">
        <v>45658</v>
      </c>
      <c r="O232" s="2">
        <v>3.0515046296296297E-2</v>
      </c>
      <c r="P232" t="s">
        <v>31</v>
      </c>
      <c r="Q232" s="2">
        <v>3.0515046296296297E-2</v>
      </c>
      <c r="R232" t="s">
        <v>255</v>
      </c>
      <c r="S232" t="s">
        <v>256</v>
      </c>
      <c r="V232" s="2">
        <v>3.0679398148148147E-2</v>
      </c>
      <c r="W232" t="s">
        <v>32</v>
      </c>
      <c r="X232" t="s">
        <v>368</v>
      </c>
    </row>
    <row r="233" spans="1:24" x14ac:dyDescent="0.3">
      <c r="A233" t="s">
        <v>431</v>
      </c>
      <c r="B233" t="s">
        <v>366</v>
      </c>
      <c r="C233" t="s">
        <v>26</v>
      </c>
      <c r="D233">
        <v>1484377.03</v>
      </c>
      <c r="E233">
        <v>1111174.95</v>
      </c>
      <c r="F233">
        <v>1484377.03</v>
      </c>
      <c r="H233">
        <v>3302000</v>
      </c>
      <c r="I233" t="s">
        <v>279</v>
      </c>
      <c r="J233" t="s">
        <v>29</v>
      </c>
      <c r="K233" t="s">
        <v>30</v>
      </c>
      <c r="M233" s="1">
        <v>45658</v>
      </c>
      <c r="O233" s="2">
        <v>3.0515046296296297E-2</v>
      </c>
      <c r="P233" t="s">
        <v>31</v>
      </c>
      <c r="Q233" s="2">
        <v>3.0515046296296297E-2</v>
      </c>
      <c r="R233" t="s">
        <v>261</v>
      </c>
      <c r="S233" t="s">
        <v>262</v>
      </c>
      <c r="V233" s="2">
        <v>3.0679398148148147E-2</v>
      </c>
      <c r="W233" t="s">
        <v>32</v>
      </c>
      <c r="X233" t="s">
        <v>368</v>
      </c>
    </row>
    <row r="234" spans="1:24" x14ac:dyDescent="0.3">
      <c r="A234" t="s">
        <v>432</v>
      </c>
      <c r="B234" t="s">
        <v>366</v>
      </c>
      <c r="C234" t="s">
        <v>26</v>
      </c>
      <c r="D234">
        <v>-24477.21</v>
      </c>
      <c r="E234">
        <v>-18386.21</v>
      </c>
      <c r="F234">
        <v>-24477.21</v>
      </c>
      <c r="H234">
        <v>3302000</v>
      </c>
      <c r="I234" t="s">
        <v>279</v>
      </c>
      <c r="J234" t="s">
        <v>29</v>
      </c>
      <c r="K234" t="s">
        <v>30</v>
      </c>
      <c r="M234" s="1">
        <v>45658</v>
      </c>
      <c r="O234" s="2">
        <v>3.0515046296296297E-2</v>
      </c>
      <c r="P234" t="s">
        <v>31</v>
      </c>
      <c r="Q234" s="2">
        <v>3.0515046296296297E-2</v>
      </c>
      <c r="T234" t="s">
        <v>433</v>
      </c>
      <c r="V234" s="2">
        <v>3.0679398148148147E-2</v>
      </c>
      <c r="W234" t="s">
        <v>32</v>
      </c>
      <c r="X234" t="s">
        <v>368</v>
      </c>
    </row>
    <row r="235" spans="1:24" x14ac:dyDescent="0.3">
      <c r="A235" t="s">
        <v>434</v>
      </c>
      <c r="B235" t="s">
        <v>43</v>
      </c>
      <c r="C235" t="s">
        <v>26</v>
      </c>
      <c r="D235">
        <v>-9206</v>
      </c>
      <c r="E235">
        <v>-6951.07</v>
      </c>
      <c r="F235">
        <v>-9206</v>
      </c>
      <c r="G235" t="s">
        <v>27</v>
      </c>
      <c r="H235">
        <v>1100201</v>
      </c>
      <c r="I235" t="s">
        <v>179</v>
      </c>
      <c r="J235" t="s">
        <v>44</v>
      </c>
      <c r="K235" t="s">
        <v>45</v>
      </c>
      <c r="M235" s="1">
        <v>45658</v>
      </c>
      <c r="O235" s="2">
        <v>3.0515046296296297E-2</v>
      </c>
      <c r="P235" t="s">
        <v>31</v>
      </c>
      <c r="Q235" s="2">
        <v>3.0515046296296297E-2</v>
      </c>
      <c r="V235" s="2">
        <v>4.1190972222222226E-2</v>
      </c>
      <c r="W235" t="s">
        <v>32</v>
      </c>
      <c r="X235" t="s">
        <v>435</v>
      </c>
    </row>
    <row r="236" spans="1:24" x14ac:dyDescent="0.3">
      <c r="A236" t="s">
        <v>436</v>
      </c>
      <c r="B236" t="s">
        <v>25</v>
      </c>
      <c r="C236" t="s">
        <v>26</v>
      </c>
      <c r="D236">
        <v>-1629459.63</v>
      </c>
      <c r="E236">
        <v>-1199720</v>
      </c>
      <c r="F236">
        <v>-1629459.63</v>
      </c>
      <c r="G236" t="s">
        <v>38</v>
      </c>
      <c r="H236">
        <v>3123701</v>
      </c>
      <c r="I236" t="s">
        <v>293</v>
      </c>
      <c r="J236" t="s">
        <v>29</v>
      </c>
      <c r="K236" t="s">
        <v>30</v>
      </c>
      <c r="M236" s="1">
        <v>45658</v>
      </c>
      <c r="O236" s="2">
        <v>3.0515046296296297E-2</v>
      </c>
      <c r="P236" t="s">
        <v>31</v>
      </c>
      <c r="Q236" s="2">
        <v>3.0515046296296297E-2</v>
      </c>
      <c r="V236" s="2">
        <v>3.0679398148148147E-2</v>
      </c>
      <c r="W236" t="s">
        <v>32</v>
      </c>
      <c r="X236" t="s">
        <v>30</v>
      </c>
    </row>
    <row r="237" spans="1:24" x14ac:dyDescent="0.3">
      <c r="A237" t="s">
        <v>437</v>
      </c>
      <c r="B237" t="s">
        <v>25</v>
      </c>
      <c r="C237" t="s">
        <v>26</v>
      </c>
      <c r="D237">
        <v>-49302.66</v>
      </c>
      <c r="E237">
        <v>-36300</v>
      </c>
      <c r="F237">
        <v>-49302.66</v>
      </c>
      <c r="G237" t="s">
        <v>38</v>
      </c>
      <c r="H237">
        <v>3123701</v>
      </c>
      <c r="I237" t="s">
        <v>293</v>
      </c>
      <c r="J237" t="s">
        <v>29</v>
      </c>
      <c r="K237" t="s">
        <v>30</v>
      </c>
      <c r="M237" s="1">
        <v>45658</v>
      </c>
      <c r="O237" s="2">
        <v>3.0515046296296297E-2</v>
      </c>
      <c r="P237" t="s">
        <v>31</v>
      </c>
      <c r="Q237" s="2">
        <v>3.0515046296296297E-2</v>
      </c>
      <c r="T237" t="s">
        <v>438</v>
      </c>
      <c r="V237" s="2">
        <v>3.0679398148148147E-2</v>
      </c>
      <c r="W237" t="s">
        <v>32</v>
      </c>
      <c r="X237" t="s">
        <v>30</v>
      </c>
    </row>
    <row r="238" spans="1:24" x14ac:dyDescent="0.3">
      <c r="A238" t="s">
        <v>439</v>
      </c>
      <c r="B238" t="s">
        <v>25</v>
      </c>
      <c r="C238" t="s">
        <v>26</v>
      </c>
      <c r="D238">
        <v>-40746</v>
      </c>
      <c r="E238">
        <v>-30000</v>
      </c>
      <c r="F238">
        <v>-40746</v>
      </c>
      <c r="G238" t="s">
        <v>38</v>
      </c>
      <c r="H238">
        <v>3123701</v>
      </c>
      <c r="I238" t="s">
        <v>293</v>
      </c>
      <c r="J238" t="s">
        <v>29</v>
      </c>
      <c r="K238" t="s">
        <v>30</v>
      </c>
      <c r="M238" s="1">
        <v>45658</v>
      </c>
      <c r="O238" s="2">
        <v>3.0515046296296297E-2</v>
      </c>
      <c r="P238" t="s">
        <v>31</v>
      </c>
      <c r="Q238" s="2">
        <v>3.0515046296296297E-2</v>
      </c>
      <c r="T238" t="s">
        <v>440</v>
      </c>
      <c r="V238" s="2">
        <v>3.0679398148148147E-2</v>
      </c>
      <c r="W238" t="s">
        <v>32</v>
      </c>
      <c r="X238" t="s">
        <v>30</v>
      </c>
    </row>
    <row r="239" spans="1:24" x14ac:dyDescent="0.3">
      <c r="A239" t="s">
        <v>441</v>
      </c>
      <c r="B239" t="s">
        <v>25</v>
      </c>
      <c r="C239" t="s">
        <v>26</v>
      </c>
      <c r="D239">
        <v>67910</v>
      </c>
      <c r="E239">
        <v>50000</v>
      </c>
      <c r="F239">
        <v>67910</v>
      </c>
      <c r="G239" t="s">
        <v>38</v>
      </c>
      <c r="H239">
        <v>3123701</v>
      </c>
      <c r="I239" t="s">
        <v>293</v>
      </c>
      <c r="J239" t="s">
        <v>29</v>
      </c>
      <c r="K239" t="s">
        <v>30</v>
      </c>
      <c r="M239" s="1">
        <v>45658</v>
      </c>
      <c r="O239" s="2">
        <v>3.0515046296296297E-2</v>
      </c>
      <c r="P239" t="s">
        <v>31</v>
      </c>
      <c r="Q239" s="2">
        <v>3.0515046296296297E-2</v>
      </c>
      <c r="T239" t="s">
        <v>442</v>
      </c>
      <c r="V239" s="2">
        <v>3.0679398148148147E-2</v>
      </c>
      <c r="W239" t="s">
        <v>32</v>
      </c>
      <c r="X239" t="s">
        <v>30</v>
      </c>
    </row>
    <row r="240" spans="1:24" x14ac:dyDescent="0.3">
      <c r="A240" t="s">
        <v>443</v>
      </c>
      <c r="B240" t="s">
        <v>25</v>
      </c>
      <c r="C240" t="s">
        <v>26</v>
      </c>
      <c r="D240">
        <v>-67910</v>
      </c>
      <c r="E240">
        <v>-50000</v>
      </c>
      <c r="F240">
        <v>-67910</v>
      </c>
      <c r="G240" t="s">
        <v>38</v>
      </c>
      <c r="H240">
        <v>3123701</v>
      </c>
      <c r="I240" t="s">
        <v>293</v>
      </c>
      <c r="J240" t="s">
        <v>29</v>
      </c>
      <c r="K240" t="s">
        <v>30</v>
      </c>
      <c r="M240" s="1">
        <v>45658</v>
      </c>
      <c r="O240" s="2">
        <v>3.0515046296296297E-2</v>
      </c>
      <c r="P240" t="s">
        <v>31</v>
      </c>
      <c r="Q240" s="2">
        <v>3.0515046296296297E-2</v>
      </c>
      <c r="T240" t="s">
        <v>444</v>
      </c>
      <c r="V240" s="2">
        <v>3.0679398148148147E-2</v>
      </c>
      <c r="W240" t="s">
        <v>32</v>
      </c>
      <c r="X240" t="s">
        <v>30</v>
      </c>
    </row>
    <row r="241" spans="1:24" x14ac:dyDescent="0.3">
      <c r="A241" t="s">
        <v>445</v>
      </c>
      <c r="B241" t="s">
        <v>25</v>
      </c>
      <c r="C241" t="s">
        <v>26</v>
      </c>
      <c r="D241">
        <v>67910</v>
      </c>
      <c r="E241">
        <v>50000</v>
      </c>
      <c r="F241">
        <v>67910</v>
      </c>
      <c r="G241" t="s">
        <v>38</v>
      </c>
      <c r="H241">
        <v>3123701</v>
      </c>
      <c r="I241" t="s">
        <v>293</v>
      </c>
      <c r="J241" t="s">
        <v>29</v>
      </c>
      <c r="K241" t="s">
        <v>30</v>
      </c>
      <c r="M241" s="1">
        <v>45658</v>
      </c>
      <c r="O241" s="2">
        <v>3.0515046296296297E-2</v>
      </c>
      <c r="P241" t="s">
        <v>31</v>
      </c>
      <c r="Q241" s="2">
        <v>3.0515046296296297E-2</v>
      </c>
      <c r="T241" t="s">
        <v>446</v>
      </c>
      <c r="V241" s="2">
        <v>3.0679398148148147E-2</v>
      </c>
      <c r="W241" t="s">
        <v>32</v>
      </c>
      <c r="X241" t="s">
        <v>30</v>
      </c>
    </row>
    <row r="242" spans="1:24" x14ac:dyDescent="0.3">
      <c r="A242" t="s">
        <v>447</v>
      </c>
      <c r="B242" t="s">
        <v>25</v>
      </c>
      <c r="C242" t="s">
        <v>26</v>
      </c>
      <c r="D242">
        <v>-40746</v>
      </c>
      <c r="E242">
        <v>-30000</v>
      </c>
      <c r="F242">
        <v>-40746</v>
      </c>
      <c r="G242" t="s">
        <v>38</v>
      </c>
      <c r="H242">
        <v>3123701</v>
      </c>
      <c r="I242" t="s">
        <v>293</v>
      </c>
      <c r="J242" t="s">
        <v>29</v>
      </c>
      <c r="K242" t="s">
        <v>30</v>
      </c>
      <c r="M242" s="1">
        <v>45658</v>
      </c>
      <c r="O242" s="2">
        <v>3.0515046296296297E-2</v>
      </c>
      <c r="P242" t="s">
        <v>31</v>
      </c>
      <c r="Q242" s="2">
        <v>3.0515046296296297E-2</v>
      </c>
      <c r="T242" t="s">
        <v>448</v>
      </c>
      <c r="V242" s="2">
        <v>3.0679398148148147E-2</v>
      </c>
      <c r="W242" t="s">
        <v>32</v>
      </c>
      <c r="X242" t="s">
        <v>30</v>
      </c>
    </row>
    <row r="243" spans="1:24" x14ac:dyDescent="0.3">
      <c r="A243" t="s">
        <v>449</v>
      </c>
      <c r="B243" t="s">
        <v>366</v>
      </c>
      <c r="C243" t="s">
        <v>26</v>
      </c>
      <c r="D243">
        <v>-231836.03</v>
      </c>
      <c r="E243">
        <v>-173364.72</v>
      </c>
      <c r="F243">
        <v>-231836.03</v>
      </c>
      <c r="H243">
        <v>3302000</v>
      </c>
      <c r="I243" t="s">
        <v>279</v>
      </c>
      <c r="J243" t="s">
        <v>29</v>
      </c>
      <c r="K243" t="s">
        <v>30</v>
      </c>
      <c r="M243" s="1">
        <v>45658</v>
      </c>
      <c r="O243" s="2">
        <v>3.0515046296296297E-2</v>
      </c>
      <c r="P243" t="s">
        <v>31</v>
      </c>
      <c r="Q243" s="2">
        <v>3.0515046296296297E-2</v>
      </c>
      <c r="T243" t="s">
        <v>450</v>
      </c>
      <c r="V243" s="2">
        <v>3.0679398148148147E-2</v>
      </c>
      <c r="W243" t="s">
        <v>32</v>
      </c>
      <c r="X243" t="s">
        <v>368</v>
      </c>
    </row>
    <row r="244" spans="1:24" x14ac:dyDescent="0.3">
      <c r="A244" t="s">
        <v>451</v>
      </c>
      <c r="B244" t="s">
        <v>366</v>
      </c>
      <c r="C244" t="s">
        <v>26</v>
      </c>
      <c r="D244">
        <v>-192484.22</v>
      </c>
      <c r="E244">
        <v>-144248.18</v>
      </c>
      <c r="F244">
        <v>-192484.22</v>
      </c>
      <c r="H244">
        <v>3302000</v>
      </c>
      <c r="I244" t="s">
        <v>279</v>
      </c>
      <c r="J244" t="s">
        <v>29</v>
      </c>
      <c r="K244" t="s">
        <v>30</v>
      </c>
      <c r="M244" s="1">
        <v>45658</v>
      </c>
      <c r="O244" s="2">
        <v>3.0515046296296297E-2</v>
      </c>
      <c r="P244" t="s">
        <v>31</v>
      </c>
      <c r="Q244" s="2">
        <v>3.0515046296296297E-2</v>
      </c>
      <c r="T244" t="s">
        <v>452</v>
      </c>
      <c r="V244" s="2">
        <v>3.0679398148148147E-2</v>
      </c>
      <c r="W244" t="s">
        <v>32</v>
      </c>
      <c r="X244" t="s">
        <v>368</v>
      </c>
    </row>
    <row r="245" spans="1:24" x14ac:dyDescent="0.3">
      <c r="A245" t="s">
        <v>453</v>
      </c>
      <c r="B245" t="s">
        <v>366</v>
      </c>
      <c r="C245" t="s">
        <v>26</v>
      </c>
      <c r="D245">
        <v>-169445.24</v>
      </c>
      <c r="E245">
        <v>-126666.7</v>
      </c>
      <c r="F245">
        <v>-169445.24</v>
      </c>
      <c r="H245">
        <v>3302000</v>
      </c>
      <c r="I245" t="s">
        <v>279</v>
      </c>
      <c r="J245" t="s">
        <v>29</v>
      </c>
      <c r="K245" t="s">
        <v>30</v>
      </c>
      <c r="M245" s="1">
        <v>45658</v>
      </c>
      <c r="O245" s="2">
        <v>3.0515046296296297E-2</v>
      </c>
      <c r="P245" t="s">
        <v>31</v>
      </c>
      <c r="Q245" s="2">
        <v>3.0515046296296297E-2</v>
      </c>
      <c r="T245" t="s">
        <v>454</v>
      </c>
      <c r="V245" s="2">
        <v>3.0679398148148147E-2</v>
      </c>
      <c r="W245" t="s">
        <v>32</v>
      </c>
      <c r="X245" t="s">
        <v>368</v>
      </c>
    </row>
    <row r="246" spans="1:24" x14ac:dyDescent="0.3">
      <c r="A246" t="s">
        <v>455</v>
      </c>
      <c r="B246" t="s">
        <v>366</v>
      </c>
      <c r="C246" t="s">
        <v>26</v>
      </c>
      <c r="D246">
        <v>-148669.69</v>
      </c>
      <c r="E246">
        <v>-111424.76</v>
      </c>
      <c r="F246">
        <v>-148669.69</v>
      </c>
      <c r="H246">
        <v>3302000</v>
      </c>
      <c r="I246" t="s">
        <v>279</v>
      </c>
      <c r="J246" t="s">
        <v>29</v>
      </c>
      <c r="K246" t="s">
        <v>30</v>
      </c>
      <c r="M246" s="1">
        <v>45658</v>
      </c>
      <c r="O246" s="2">
        <v>3.0515046296296297E-2</v>
      </c>
      <c r="P246" t="s">
        <v>31</v>
      </c>
      <c r="Q246" s="2">
        <v>3.0515046296296297E-2</v>
      </c>
      <c r="T246" t="s">
        <v>456</v>
      </c>
      <c r="V246" s="2">
        <v>3.0679398148148147E-2</v>
      </c>
      <c r="W246" t="s">
        <v>32</v>
      </c>
      <c r="X246" t="s">
        <v>368</v>
      </c>
    </row>
    <row r="247" spans="1:24" x14ac:dyDescent="0.3">
      <c r="A247" t="s">
        <v>457</v>
      </c>
      <c r="B247" t="s">
        <v>366</v>
      </c>
      <c r="C247" t="s">
        <v>26</v>
      </c>
      <c r="D247">
        <v>-150534.42000000001</v>
      </c>
      <c r="E247">
        <v>-112800</v>
      </c>
      <c r="F247">
        <v>-150534.42000000001</v>
      </c>
      <c r="H247">
        <v>3302000</v>
      </c>
      <c r="I247" t="s">
        <v>279</v>
      </c>
      <c r="J247" t="s">
        <v>29</v>
      </c>
      <c r="K247" t="s">
        <v>30</v>
      </c>
      <c r="M247" s="1">
        <v>45658</v>
      </c>
      <c r="O247" s="2">
        <v>3.0515046296296297E-2</v>
      </c>
      <c r="P247" t="s">
        <v>31</v>
      </c>
      <c r="Q247" s="2">
        <v>3.0515046296296297E-2</v>
      </c>
      <c r="T247" t="s">
        <v>458</v>
      </c>
      <c r="V247" s="2">
        <v>3.0679398148148147E-2</v>
      </c>
      <c r="W247" t="s">
        <v>32</v>
      </c>
      <c r="X247" t="s">
        <v>368</v>
      </c>
    </row>
    <row r="248" spans="1:24" x14ac:dyDescent="0.3">
      <c r="A248" t="s">
        <v>459</v>
      </c>
      <c r="B248" t="s">
        <v>366</v>
      </c>
      <c r="C248" t="s">
        <v>26</v>
      </c>
      <c r="D248">
        <v>-79286.87</v>
      </c>
      <c r="E248">
        <v>-59688.9</v>
      </c>
      <c r="F248">
        <v>-79286.87</v>
      </c>
      <c r="H248">
        <v>3302000</v>
      </c>
      <c r="I248" t="s">
        <v>279</v>
      </c>
      <c r="J248" t="s">
        <v>29</v>
      </c>
      <c r="K248" t="s">
        <v>30</v>
      </c>
      <c r="M248" s="1">
        <v>45658</v>
      </c>
      <c r="O248" s="2">
        <v>3.0515046296296297E-2</v>
      </c>
      <c r="P248" t="s">
        <v>31</v>
      </c>
      <c r="Q248" s="2">
        <v>3.0515046296296297E-2</v>
      </c>
      <c r="T248" t="s">
        <v>460</v>
      </c>
      <c r="V248" s="2">
        <v>3.0679398148148147E-2</v>
      </c>
      <c r="W248" t="s">
        <v>32</v>
      </c>
      <c r="X248" t="s">
        <v>368</v>
      </c>
    </row>
    <row r="249" spans="1:24" x14ac:dyDescent="0.3">
      <c r="A249" t="s">
        <v>461</v>
      </c>
      <c r="B249" t="s">
        <v>366</v>
      </c>
      <c r="C249" t="s">
        <v>26</v>
      </c>
      <c r="D249">
        <v>-120107.25</v>
      </c>
      <c r="E249">
        <v>-90000</v>
      </c>
      <c r="F249">
        <v>-120107.25</v>
      </c>
      <c r="H249">
        <v>3302000</v>
      </c>
      <c r="I249" t="s">
        <v>279</v>
      </c>
      <c r="J249" t="s">
        <v>29</v>
      </c>
      <c r="K249" t="s">
        <v>30</v>
      </c>
      <c r="M249" s="1">
        <v>45658</v>
      </c>
      <c r="O249" s="2">
        <v>3.0515046296296297E-2</v>
      </c>
      <c r="P249" t="s">
        <v>31</v>
      </c>
      <c r="Q249" s="2">
        <v>3.0515046296296297E-2</v>
      </c>
      <c r="T249" t="s">
        <v>462</v>
      </c>
      <c r="V249" s="2">
        <v>3.0679398148148147E-2</v>
      </c>
      <c r="W249" t="s">
        <v>32</v>
      </c>
      <c r="X249" t="s">
        <v>368</v>
      </c>
    </row>
    <row r="250" spans="1:24" x14ac:dyDescent="0.3">
      <c r="A250" t="s">
        <v>463</v>
      </c>
      <c r="B250" t="s">
        <v>366</v>
      </c>
      <c r="C250" t="s">
        <v>26</v>
      </c>
      <c r="D250">
        <v>-67289.62</v>
      </c>
      <c r="E250">
        <v>-51096.77</v>
      </c>
      <c r="F250">
        <v>-67289.62</v>
      </c>
      <c r="H250">
        <v>3302000</v>
      </c>
      <c r="I250" t="s">
        <v>279</v>
      </c>
      <c r="J250" t="s">
        <v>29</v>
      </c>
      <c r="K250" t="s">
        <v>30</v>
      </c>
      <c r="M250" s="1">
        <v>45658</v>
      </c>
      <c r="O250" s="2">
        <v>3.0515046296296297E-2</v>
      </c>
      <c r="P250" t="s">
        <v>31</v>
      </c>
      <c r="Q250" s="2">
        <v>3.0515046296296297E-2</v>
      </c>
      <c r="T250" t="s">
        <v>464</v>
      </c>
      <c r="V250" s="2">
        <v>3.0679398148148147E-2</v>
      </c>
      <c r="W250" t="s">
        <v>32</v>
      </c>
      <c r="X250" t="s">
        <v>368</v>
      </c>
    </row>
    <row r="251" spans="1:24" x14ac:dyDescent="0.3">
      <c r="A251" t="s">
        <v>465</v>
      </c>
      <c r="B251" t="s">
        <v>366</v>
      </c>
      <c r="C251" t="s">
        <v>26</v>
      </c>
      <c r="D251">
        <v>-286552.58</v>
      </c>
      <c r="E251">
        <v>-216581.74</v>
      </c>
      <c r="F251">
        <v>-286552.58</v>
      </c>
      <c r="H251">
        <v>3302000</v>
      </c>
      <c r="I251" t="s">
        <v>279</v>
      </c>
      <c r="J251" t="s">
        <v>29</v>
      </c>
      <c r="K251" t="s">
        <v>30</v>
      </c>
      <c r="M251" s="1">
        <v>45658</v>
      </c>
      <c r="O251" s="2">
        <v>3.0515046296296297E-2</v>
      </c>
      <c r="P251" t="s">
        <v>31</v>
      </c>
      <c r="Q251" s="2">
        <v>3.0515046296296297E-2</v>
      </c>
      <c r="T251" t="s">
        <v>466</v>
      </c>
      <c r="V251" s="2">
        <v>3.0679398148148147E-2</v>
      </c>
      <c r="W251" t="s">
        <v>32</v>
      </c>
      <c r="X251" t="s">
        <v>368</v>
      </c>
    </row>
    <row r="252" spans="1:24" x14ac:dyDescent="0.3">
      <c r="A252" t="s">
        <v>467</v>
      </c>
      <c r="B252" t="s">
        <v>366</v>
      </c>
      <c r="C252" t="s">
        <v>26</v>
      </c>
      <c r="D252">
        <v>-84354.96</v>
      </c>
      <c r="E252">
        <v>-63500</v>
      </c>
      <c r="F252">
        <v>-84354.96</v>
      </c>
      <c r="H252">
        <v>3302000</v>
      </c>
      <c r="I252" t="s">
        <v>279</v>
      </c>
      <c r="J252" t="s">
        <v>29</v>
      </c>
      <c r="K252" t="s">
        <v>30</v>
      </c>
      <c r="M252" s="1">
        <v>45658</v>
      </c>
      <c r="O252" s="2">
        <v>3.0515046296296297E-2</v>
      </c>
      <c r="P252" t="s">
        <v>31</v>
      </c>
      <c r="Q252" s="2">
        <v>3.0515046296296297E-2</v>
      </c>
      <c r="T252" t="s">
        <v>468</v>
      </c>
      <c r="V252" s="2">
        <v>3.0679398148148147E-2</v>
      </c>
      <c r="W252" t="s">
        <v>32</v>
      </c>
      <c r="X252" t="s">
        <v>368</v>
      </c>
    </row>
    <row r="253" spans="1:24" x14ac:dyDescent="0.3">
      <c r="A253" t="s">
        <v>469</v>
      </c>
      <c r="B253" t="s">
        <v>366</v>
      </c>
      <c r="C253" t="s">
        <v>26</v>
      </c>
      <c r="D253">
        <v>-97882.53</v>
      </c>
      <c r="E253">
        <v>-73333.33</v>
      </c>
      <c r="F253">
        <v>-97882.53</v>
      </c>
      <c r="H253">
        <v>3302000</v>
      </c>
      <c r="I253" t="s">
        <v>279</v>
      </c>
      <c r="J253" t="s">
        <v>29</v>
      </c>
      <c r="K253" t="s">
        <v>30</v>
      </c>
      <c r="M253" s="1">
        <v>45658</v>
      </c>
      <c r="O253" s="2">
        <v>3.0515046296296297E-2</v>
      </c>
      <c r="P253" t="s">
        <v>31</v>
      </c>
      <c r="Q253" s="2">
        <v>3.0515046296296297E-2</v>
      </c>
      <c r="T253" t="s">
        <v>470</v>
      </c>
      <c r="V253" s="2">
        <v>3.0679398148148147E-2</v>
      </c>
      <c r="W253" t="s">
        <v>32</v>
      </c>
      <c r="X253" t="s">
        <v>368</v>
      </c>
    </row>
    <row r="254" spans="1:24" x14ac:dyDescent="0.3">
      <c r="A254" t="s">
        <v>471</v>
      </c>
      <c r="B254" t="s">
        <v>366</v>
      </c>
      <c r="C254" t="s">
        <v>26</v>
      </c>
      <c r="D254">
        <v>-103552.61</v>
      </c>
      <c r="E254">
        <v>-77548.38</v>
      </c>
      <c r="F254">
        <v>-103552.61</v>
      </c>
      <c r="H254">
        <v>3302000</v>
      </c>
      <c r="I254" t="s">
        <v>279</v>
      </c>
      <c r="J254" t="s">
        <v>29</v>
      </c>
      <c r="K254" t="s">
        <v>30</v>
      </c>
      <c r="M254" s="1">
        <v>45658</v>
      </c>
      <c r="O254" s="2">
        <v>3.0515046296296297E-2</v>
      </c>
      <c r="P254" t="s">
        <v>31</v>
      </c>
      <c r="Q254" s="2">
        <v>3.0515046296296297E-2</v>
      </c>
      <c r="T254" t="s">
        <v>472</v>
      </c>
      <c r="V254" s="2">
        <v>3.0679398148148147E-2</v>
      </c>
      <c r="W254" t="s">
        <v>32</v>
      </c>
      <c r="X254" t="s">
        <v>368</v>
      </c>
    </row>
    <row r="255" spans="1:24" x14ac:dyDescent="0.3">
      <c r="A255" t="s">
        <v>473</v>
      </c>
      <c r="B255" t="s">
        <v>25</v>
      </c>
      <c r="C255" t="s">
        <v>26</v>
      </c>
      <c r="D255">
        <v>-497.24</v>
      </c>
      <c r="E255">
        <v>-347.42</v>
      </c>
      <c r="F255">
        <v>-497.24</v>
      </c>
      <c r="G255" t="s">
        <v>27</v>
      </c>
      <c r="H255">
        <v>1243810</v>
      </c>
      <c r="I255" t="s">
        <v>339</v>
      </c>
      <c r="J255" t="s">
        <v>29</v>
      </c>
      <c r="K255" t="s">
        <v>30</v>
      </c>
      <c r="M255" s="1">
        <v>45658</v>
      </c>
      <c r="O255" s="2">
        <v>3.0515046296296297E-2</v>
      </c>
      <c r="P255" t="s">
        <v>31</v>
      </c>
      <c r="Q255" s="2">
        <v>3.0515046296296297E-2</v>
      </c>
      <c r="T255" t="s">
        <v>474</v>
      </c>
      <c r="V255" s="2">
        <v>3.0679398148148147E-2</v>
      </c>
      <c r="W255" t="s">
        <v>32</v>
      </c>
      <c r="X255" t="s">
        <v>30</v>
      </c>
    </row>
    <row r="256" spans="1:24" x14ac:dyDescent="0.3">
      <c r="A256" t="s">
        <v>475</v>
      </c>
      <c r="B256" t="s">
        <v>25</v>
      </c>
      <c r="C256" t="s">
        <v>26</v>
      </c>
      <c r="D256">
        <v>598.04</v>
      </c>
      <c r="E256">
        <v>446.43</v>
      </c>
      <c r="F256">
        <v>598.04</v>
      </c>
      <c r="G256" t="s">
        <v>27</v>
      </c>
      <c r="H256">
        <v>1243810</v>
      </c>
      <c r="I256" t="s">
        <v>339</v>
      </c>
      <c r="J256" t="s">
        <v>29</v>
      </c>
      <c r="K256" t="s">
        <v>30</v>
      </c>
      <c r="M256" s="1">
        <v>45658</v>
      </c>
      <c r="O256" s="2">
        <v>3.0515046296296297E-2</v>
      </c>
      <c r="P256" t="s">
        <v>31</v>
      </c>
      <c r="Q256" s="2">
        <v>3.0515046296296297E-2</v>
      </c>
      <c r="T256" t="s">
        <v>476</v>
      </c>
      <c r="V256" s="2">
        <v>3.0679398148148147E-2</v>
      </c>
      <c r="W256" t="s">
        <v>32</v>
      </c>
      <c r="X256" t="s">
        <v>30</v>
      </c>
    </row>
    <row r="257" spans="1:24" x14ac:dyDescent="0.3">
      <c r="A257" t="s">
        <v>477</v>
      </c>
      <c r="B257" t="s">
        <v>25</v>
      </c>
      <c r="C257" t="s">
        <v>26</v>
      </c>
      <c r="D257">
        <v>589.66999999999996</v>
      </c>
      <c r="E257">
        <v>439.89</v>
      </c>
      <c r="F257">
        <v>589.66999999999996</v>
      </c>
      <c r="G257" t="s">
        <v>27</v>
      </c>
      <c r="H257">
        <v>1243810</v>
      </c>
      <c r="I257" t="s">
        <v>339</v>
      </c>
      <c r="J257" t="s">
        <v>29</v>
      </c>
      <c r="K257" t="s">
        <v>30</v>
      </c>
      <c r="M257" s="1">
        <v>45658</v>
      </c>
      <c r="O257" s="2">
        <v>3.0515046296296297E-2</v>
      </c>
      <c r="P257" t="s">
        <v>31</v>
      </c>
      <c r="Q257" s="2">
        <v>3.0515046296296297E-2</v>
      </c>
      <c r="T257" t="s">
        <v>478</v>
      </c>
      <c r="V257" s="2">
        <v>3.0679398148148147E-2</v>
      </c>
      <c r="W257" t="s">
        <v>32</v>
      </c>
      <c r="X257" t="s">
        <v>30</v>
      </c>
    </row>
    <row r="258" spans="1:24" x14ac:dyDescent="0.3">
      <c r="A258" t="s">
        <v>479</v>
      </c>
      <c r="B258" t="s">
        <v>25</v>
      </c>
      <c r="C258" t="s">
        <v>26</v>
      </c>
      <c r="D258">
        <v>-619.01</v>
      </c>
      <c r="E258">
        <v>-456.42</v>
      </c>
      <c r="F258">
        <v>-619.01</v>
      </c>
      <c r="G258" t="s">
        <v>27</v>
      </c>
      <c r="H258">
        <v>1243810</v>
      </c>
      <c r="I258" t="s">
        <v>339</v>
      </c>
      <c r="J258" t="s">
        <v>29</v>
      </c>
      <c r="K258" t="s">
        <v>30</v>
      </c>
      <c r="M258" s="1">
        <v>45658</v>
      </c>
      <c r="O258" s="2">
        <v>3.0515046296296297E-2</v>
      </c>
      <c r="P258" t="s">
        <v>31</v>
      </c>
      <c r="Q258" s="2">
        <v>3.0515046296296297E-2</v>
      </c>
      <c r="T258" t="s">
        <v>480</v>
      </c>
      <c r="V258" s="2">
        <v>3.0679398148148147E-2</v>
      </c>
      <c r="W258" t="s">
        <v>32</v>
      </c>
      <c r="X258" t="s">
        <v>30</v>
      </c>
    </row>
    <row r="259" spans="1:24" x14ac:dyDescent="0.3">
      <c r="A259" t="s">
        <v>481</v>
      </c>
      <c r="B259" t="s">
        <v>25</v>
      </c>
      <c r="C259" t="s">
        <v>26</v>
      </c>
      <c r="D259">
        <v>-547.92999999999995</v>
      </c>
      <c r="E259">
        <v>-402.28</v>
      </c>
      <c r="F259">
        <v>-547.92999999999995</v>
      </c>
      <c r="G259" t="s">
        <v>27</v>
      </c>
      <c r="H259">
        <v>1243810</v>
      </c>
      <c r="I259" t="s">
        <v>339</v>
      </c>
      <c r="J259" t="s">
        <v>29</v>
      </c>
      <c r="K259" t="s">
        <v>30</v>
      </c>
      <c r="M259" s="1">
        <v>45658</v>
      </c>
      <c r="O259" s="2">
        <v>3.0515046296296297E-2</v>
      </c>
      <c r="P259" t="s">
        <v>31</v>
      </c>
      <c r="Q259" s="2">
        <v>3.0515046296296297E-2</v>
      </c>
      <c r="T259" t="s">
        <v>482</v>
      </c>
      <c r="V259" s="2">
        <v>3.0679398148148147E-2</v>
      </c>
      <c r="W259" t="s">
        <v>32</v>
      </c>
      <c r="X259" t="s">
        <v>30</v>
      </c>
    </row>
    <row r="260" spans="1:24" x14ac:dyDescent="0.3">
      <c r="A260" t="s">
        <v>483</v>
      </c>
      <c r="B260" t="s">
        <v>25</v>
      </c>
      <c r="C260" t="s">
        <v>26</v>
      </c>
      <c r="D260">
        <v>-1798.13</v>
      </c>
      <c r="E260">
        <v>-1342.29</v>
      </c>
      <c r="F260">
        <v>-1798.13</v>
      </c>
      <c r="G260" t="s">
        <v>27</v>
      </c>
      <c r="H260">
        <v>1243810</v>
      </c>
      <c r="I260" t="s">
        <v>339</v>
      </c>
      <c r="J260" t="s">
        <v>29</v>
      </c>
      <c r="K260" t="s">
        <v>30</v>
      </c>
      <c r="M260" s="1">
        <v>45658</v>
      </c>
      <c r="O260" s="2">
        <v>3.0515046296296297E-2</v>
      </c>
      <c r="P260" t="s">
        <v>31</v>
      </c>
      <c r="Q260" s="2">
        <v>3.0515046296296297E-2</v>
      </c>
      <c r="T260" t="s">
        <v>484</v>
      </c>
      <c r="V260" s="2">
        <v>3.0679398148148147E-2</v>
      </c>
      <c r="W260" t="s">
        <v>32</v>
      </c>
      <c r="X260" t="s">
        <v>30</v>
      </c>
    </row>
    <row r="261" spans="1:24" x14ac:dyDescent="0.3">
      <c r="A261" t="s">
        <v>485</v>
      </c>
      <c r="B261" t="s">
        <v>25</v>
      </c>
      <c r="C261" t="s">
        <v>26</v>
      </c>
      <c r="D261">
        <v>-5741.14</v>
      </c>
      <c r="E261">
        <v>-4145.3999999999996</v>
      </c>
      <c r="F261">
        <v>-5741.14</v>
      </c>
      <c r="G261" t="s">
        <v>27</v>
      </c>
      <c r="H261">
        <v>1243810</v>
      </c>
      <c r="I261" t="s">
        <v>339</v>
      </c>
      <c r="J261" t="s">
        <v>29</v>
      </c>
      <c r="K261" t="s">
        <v>30</v>
      </c>
      <c r="M261" s="1">
        <v>45658</v>
      </c>
      <c r="O261" s="2">
        <v>3.0515046296296297E-2</v>
      </c>
      <c r="P261" t="s">
        <v>31</v>
      </c>
      <c r="Q261" s="2">
        <v>3.0515046296296297E-2</v>
      </c>
      <c r="T261" t="s">
        <v>486</v>
      </c>
      <c r="V261" s="2">
        <v>3.0679398148148147E-2</v>
      </c>
      <c r="W261" t="s">
        <v>32</v>
      </c>
      <c r="X261" t="s">
        <v>30</v>
      </c>
    </row>
    <row r="262" spans="1:24" x14ac:dyDescent="0.3">
      <c r="A262" t="s">
        <v>487</v>
      </c>
      <c r="B262" t="s">
        <v>25</v>
      </c>
      <c r="C262" t="s">
        <v>26</v>
      </c>
      <c r="D262">
        <v>-554.04</v>
      </c>
      <c r="E262">
        <v>-483.11</v>
      </c>
      <c r="F262">
        <v>-554.04</v>
      </c>
      <c r="G262" t="s">
        <v>27</v>
      </c>
      <c r="H262">
        <v>1243810</v>
      </c>
      <c r="I262" t="s">
        <v>339</v>
      </c>
      <c r="J262" t="s">
        <v>29</v>
      </c>
      <c r="K262" t="s">
        <v>30</v>
      </c>
      <c r="M262" s="1">
        <v>45658</v>
      </c>
      <c r="O262" s="2">
        <v>3.0515046296296297E-2</v>
      </c>
      <c r="P262" t="s">
        <v>31</v>
      </c>
      <c r="Q262" s="2">
        <v>3.0515046296296297E-2</v>
      </c>
      <c r="T262" t="s">
        <v>488</v>
      </c>
      <c r="V262" s="2">
        <v>3.0679398148148147E-2</v>
      </c>
      <c r="W262" t="s">
        <v>32</v>
      </c>
      <c r="X262" t="s">
        <v>30</v>
      </c>
    </row>
    <row r="263" spans="1:24" x14ac:dyDescent="0.3">
      <c r="A263" t="s">
        <v>489</v>
      </c>
      <c r="B263" t="s">
        <v>25</v>
      </c>
      <c r="C263" t="s">
        <v>26</v>
      </c>
      <c r="D263">
        <v>-142.1</v>
      </c>
      <c r="E263">
        <v>-106.08</v>
      </c>
      <c r="F263">
        <v>-142.1</v>
      </c>
      <c r="G263" t="s">
        <v>27</v>
      </c>
      <c r="H263">
        <v>1243810</v>
      </c>
      <c r="I263" t="s">
        <v>339</v>
      </c>
      <c r="J263" t="s">
        <v>29</v>
      </c>
      <c r="K263" t="s">
        <v>30</v>
      </c>
      <c r="M263" s="1">
        <v>45658</v>
      </c>
      <c r="O263" s="2">
        <v>3.0515046296296297E-2</v>
      </c>
      <c r="P263" t="s">
        <v>31</v>
      </c>
      <c r="Q263" s="2">
        <v>3.0515046296296297E-2</v>
      </c>
      <c r="T263" t="s">
        <v>490</v>
      </c>
      <c r="V263" s="2">
        <v>3.0679398148148147E-2</v>
      </c>
      <c r="W263" t="s">
        <v>32</v>
      </c>
      <c r="X263" t="s">
        <v>30</v>
      </c>
    </row>
    <row r="264" spans="1:24" x14ac:dyDescent="0.3">
      <c r="A264" t="s">
        <v>491</v>
      </c>
      <c r="B264" t="s">
        <v>25</v>
      </c>
      <c r="C264" t="s">
        <v>26</v>
      </c>
      <c r="D264">
        <v>-19.13</v>
      </c>
      <c r="E264">
        <v>-14.28</v>
      </c>
      <c r="F264">
        <v>-19.13</v>
      </c>
      <c r="G264" t="s">
        <v>27</v>
      </c>
      <c r="H264">
        <v>1243810</v>
      </c>
      <c r="I264" t="s">
        <v>339</v>
      </c>
      <c r="J264" t="s">
        <v>29</v>
      </c>
      <c r="K264" t="s">
        <v>30</v>
      </c>
      <c r="M264" s="1">
        <v>45658</v>
      </c>
      <c r="O264" s="2">
        <v>3.0515046296296297E-2</v>
      </c>
      <c r="P264" t="s">
        <v>31</v>
      </c>
      <c r="Q264" s="2">
        <v>3.0515046296296297E-2</v>
      </c>
      <c r="T264" t="s">
        <v>492</v>
      </c>
      <c r="V264" s="2">
        <v>3.0679398148148147E-2</v>
      </c>
      <c r="W264" t="s">
        <v>32</v>
      </c>
      <c r="X264" t="s">
        <v>30</v>
      </c>
    </row>
    <row r="265" spans="1:24" x14ac:dyDescent="0.3">
      <c r="A265" t="s">
        <v>493</v>
      </c>
      <c r="B265" t="s">
        <v>25</v>
      </c>
      <c r="C265" t="s">
        <v>26</v>
      </c>
      <c r="D265">
        <v>25.58</v>
      </c>
      <c r="E265">
        <v>19.100000000000001</v>
      </c>
      <c r="F265">
        <v>25.58</v>
      </c>
      <c r="G265" t="s">
        <v>27</v>
      </c>
      <c r="H265">
        <v>1243810</v>
      </c>
      <c r="I265" t="s">
        <v>339</v>
      </c>
      <c r="J265" t="s">
        <v>29</v>
      </c>
      <c r="K265" t="s">
        <v>30</v>
      </c>
      <c r="M265" s="1">
        <v>45658</v>
      </c>
      <c r="O265" s="2">
        <v>3.0515046296296297E-2</v>
      </c>
      <c r="P265" t="s">
        <v>31</v>
      </c>
      <c r="Q265" s="2">
        <v>3.0515046296296297E-2</v>
      </c>
      <c r="T265" t="s">
        <v>494</v>
      </c>
      <c r="V265" s="2">
        <v>3.0679398148148147E-2</v>
      </c>
      <c r="W265" t="s">
        <v>32</v>
      </c>
      <c r="X265" t="s">
        <v>30</v>
      </c>
    </row>
    <row r="266" spans="1:24" x14ac:dyDescent="0.3">
      <c r="A266" t="s">
        <v>495</v>
      </c>
      <c r="B266" t="s">
        <v>25</v>
      </c>
      <c r="C266" t="s">
        <v>26</v>
      </c>
      <c r="D266">
        <v>-5091.6400000000003</v>
      </c>
      <c r="E266">
        <v>-3798.73</v>
      </c>
      <c r="F266">
        <v>-5091.6400000000003</v>
      </c>
      <c r="G266" t="s">
        <v>27</v>
      </c>
      <c r="H266">
        <v>1243810</v>
      </c>
      <c r="I266" t="s">
        <v>339</v>
      </c>
      <c r="J266" t="s">
        <v>29</v>
      </c>
      <c r="K266" t="s">
        <v>30</v>
      </c>
      <c r="M266" s="1">
        <v>45658</v>
      </c>
      <c r="O266" s="2">
        <v>3.0515046296296297E-2</v>
      </c>
      <c r="P266" t="s">
        <v>31</v>
      </c>
      <c r="Q266" s="2">
        <v>3.0515046296296297E-2</v>
      </c>
      <c r="T266" t="s">
        <v>496</v>
      </c>
      <c r="V266" s="2">
        <v>3.0679398148148147E-2</v>
      </c>
      <c r="W266" t="s">
        <v>32</v>
      </c>
      <c r="X266" t="s">
        <v>30</v>
      </c>
    </row>
    <row r="267" spans="1:24" x14ac:dyDescent="0.3">
      <c r="A267" t="s">
        <v>497</v>
      </c>
      <c r="B267" t="s">
        <v>25</v>
      </c>
      <c r="C267" t="s">
        <v>26</v>
      </c>
      <c r="D267">
        <v>-5.24</v>
      </c>
      <c r="E267">
        <v>-3.91</v>
      </c>
      <c r="F267">
        <v>-5.24</v>
      </c>
      <c r="G267" t="s">
        <v>27</v>
      </c>
      <c r="H267">
        <v>1243810</v>
      </c>
      <c r="I267" t="s">
        <v>339</v>
      </c>
      <c r="J267" t="s">
        <v>29</v>
      </c>
      <c r="K267" t="s">
        <v>30</v>
      </c>
      <c r="M267" s="1">
        <v>45658</v>
      </c>
      <c r="O267" s="2">
        <v>3.0515046296296297E-2</v>
      </c>
      <c r="P267" t="s">
        <v>31</v>
      </c>
      <c r="Q267" s="2">
        <v>3.0515046296296297E-2</v>
      </c>
      <c r="T267" t="s">
        <v>498</v>
      </c>
      <c r="V267" s="2">
        <v>3.0679398148148147E-2</v>
      </c>
      <c r="W267" t="s">
        <v>32</v>
      </c>
      <c r="X267" t="s">
        <v>30</v>
      </c>
    </row>
    <row r="268" spans="1:24" x14ac:dyDescent="0.3">
      <c r="A268" t="s">
        <v>499</v>
      </c>
      <c r="B268" t="s">
        <v>25</v>
      </c>
      <c r="C268" t="s">
        <v>26</v>
      </c>
      <c r="D268">
        <v>-91.33</v>
      </c>
      <c r="E268">
        <v>-80.98</v>
      </c>
      <c r="F268">
        <v>-91.33</v>
      </c>
      <c r="G268" t="s">
        <v>27</v>
      </c>
      <c r="H268">
        <v>1243810</v>
      </c>
      <c r="I268" t="s">
        <v>339</v>
      </c>
      <c r="J268" t="s">
        <v>29</v>
      </c>
      <c r="K268" t="s">
        <v>30</v>
      </c>
      <c r="M268" s="1">
        <v>45658</v>
      </c>
      <c r="O268" s="2">
        <v>3.0515046296296297E-2</v>
      </c>
      <c r="P268" t="s">
        <v>31</v>
      </c>
      <c r="Q268" s="2">
        <v>3.0515046296296297E-2</v>
      </c>
      <c r="T268" t="s">
        <v>500</v>
      </c>
      <c r="V268" s="2">
        <v>3.0679398148148147E-2</v>
      </c>
      <c r="W268" t="s">
        <v>32</v>
      </c>
      <c r="X268" t="s">
        <v>30</v>
      </c>
    </row>
    <row r="269" spans="1:24" x14ac:dyDescent="0.3">
      <c r="A269" t="s">
        <v>501</v>
      </c>
      <c r="B269" t="s">
        <v>25</v>
      </c>
      <c r="C269" t="s">
        <v>26</v>
      </c>
      <c r="D269">
        <v>-191.68</v>
      </c>
      <c r="E269">
        <v>-143.09</v>
      </c>
      <c r="F269">
        <v>-191.68</v>
      </c>
      <c r="G269" t="s">
        <v>27</v>
      </c>
      <c r="H269">
        <v>1243810</v>
      </c>
      <c r="I269" t="s">
        <v>339</v>
      </c>
      <c r="J269" t="s">
        <v>29</v>
      </c>
      <c r="K269" t="s">
        <v>30</v>
      </c>
      <c r="M269" s="1">
        <v>45658</v>
      </c>
      <c r="O269" s="2">
        <v>3.0515046296296297E-2</v>
      </c>
      <c r="P269" t="s">
        <v>31</v>
      </c>
      <c r="Q269" s="2">
        <v>3.0515046296296297E-2</v>
      </c>
      <c r="T269" t="s">
        <v>502</v>
      </c>
      <c r="V269" s="2">
        <v>3.0679398148148147E-2</v>
      </c>
      <c r="W269" t="s">
        <v>32</v>
      </c>
      <c r="X269" t="s">
        <v>30</v>
      </c>
    </row>
    <row r="270" spans="1:24" x14ac:dyDescent="0.3">
      <c r="A270" t="s">
        <v>503</v>
      </c>
      <c r="B270" t="s">
        <v>25</v>
      </c>
      <c r="C270" t="s">
        <v>26</v>
      </c>
      <c r="D270">
        <v>-3346</v>
      </c>
      <c r="E270">
        <v>-2497.7600000000002</v>
      </c>
      <c r="F270">
        <v>-3346</v>
      </c>
      <c r="G270" t="s">
        <v>27</v>
      </c>
      <c r="H270">
        <v>1243810</v>
      </c>
      <c r="I270" t="s">
        <v>339</v>
      </c>
      <c r="J270" t="s">
        <v>29</v>
      </c>
      <c r="K270" t="s">
        <v>30</v>
      </c>
      <c r="M270" s="1">
        <v>45658</v>
      </c>
      <c r="O270" s="2">
        <v>3.0515046296296297E-2</v>
      </c>
      <c r="P270" t="s">
        <v>31</v>
      </c>
      <c r="Q270" s="2">
        <v>3.0515046296296297E-2</v>
      </c>
      <c r="T270" t="s">
        <v>504</v>
      </c>
      <c r="V270" s="2">
        <v>3.0679398148148147E-2</v>
      </c>
      <c r="W270" t="s">
        <v>32</v>
      </c>
      <c r="X270" t="s">
        <v>30</v>
      </c>
    </row>
    <row r="271" spans="1:24" x14ac:dyDescent="0.3">
      <c r="A271" t="s">
        <v>505</v>
      </c>
      <c r="B271" t="s">
        <v>25</v>
      </c>
      <c r="C271" t="s">
        <v>26</v>
      </c>
      <c r="D271">
        <v>-86.5</v>
      </c>
      <c r="E271">
        <v>-64.22</v>
      </c>
      <c r="F271">
        <v>-86.5</v>
      </c>
      <c r="G271" t="s">
        <v>27</v>
      </c>
      <c r="H271">
        <v>1243810</v>
      </c>
      <c r="I271" t="s">
        <v>339</v>
      </c>
      <c r="J271" t="s">
        <v>29</v>
      </c>
      <c r="K271" t="s">
        <v>30</v>
      </c>
      <c r="M271" s="1">
        <v>45658</v>
      </c>
      <c r="O271" s="2">
        <v>3.0515046296296297E-2</v>
      </c>
      <c r="P271" t="s">
        <v>31</v>
      </c>
      <c r="Q271" s="2">
        <v>3.0515046296296297E-2</v>
      </c>
      <c r="T271" t="s">
        <v>506</v>
      </c>
      <c r="V271" s="2">
        <v>3.0679398148148147E-2</v>
      </c>
      <c r="W271" t="s">
        <v>32</v>
      </c>
      <c r="X271" t="s">
        <v>30</v>
      </c>
    </row>
    <row r="272" spans="1:24" x14ac:dyDescent="0.3">
      <c r="A272" t="s">
        <v>507</v>
      </c>
      <c r="B272" t="s">
        <v>25</v>
      </c>
      <c r="C272" t="s">
        <v>26</v>
      </c>
      <c r="D272">
        <v>-24.82</v>
      </c>
      <c r="E272">
        <v>39.86</v>
      </c>
      <c r="F272">
        <v>-24.82</v>
      </c>
      <c r="G272" t="s">
        <v>27</v>
      </c>
      <c r="H272">
        <v>1243810</v>
      </c>
      <c r="I272" t="s">
        <v>339</v>
      </c>
      <c r="J272" t="s">
        <v>29</v>
      </c>
      <c r="K272" t="s">
        <v>30</v>
      </c>
      <c r="M272" s="1">
        <v>45658</v>
      </c>
      <c r="O272" s="2">
        <v>3.0515046296296297E-2</v>
      </c>
      <c r="P272" t="s">
        <v>31</v>
      </c>
      <c r="Q272" s="2">
        <v>3.0515046296296297E-2</v>
      </c>
      <c r="T272" t="s">
        <v>508</v>
      </c>
      <c r="V272" s="2">
        <v>3.0679398148148147E-2</v>
      </c>
      <c r="W272" t="s">
        <v>32</v>
      </c>
      <c r="X272" t="s">
        <v>30</v>
      </c>
    </row>
    <row r="273" spans="1:24" x14ac:dyDescent="0.3">
      <c r="A273" t="s">
        <v>509</v>
      </c>
      <c r="B273" t="s">
        <v>25</v>
      </c>
      <c r="C273" t="s">
        <v>26</v>
      </c>
      <c r="D273">
        <v>153.78</v>
      </c>
      <c r="E273">
        <v>114.8</v>
      </c>
      <c r="F273">
        <v>153.78</v>
      </c>
      <c r="G273" t="s">
        <v>27</v>
      </c>
      <c r="H273">
        <v>1243810</v>
      </c>
      <c r="I273" t="s">
        <v>339</v>
      </c>
      <c r="J273" t="s">
        <v>29</v>
      </c>
      <c r="K273" t="s">
        <v>30</v>
      </c>
      <c r="M273" s="1">
        <v>45658</v>
      </c>
      <c r="O273" s="2">
        <v>3.0515046296296297E-2</v>
      </c>
      <c r="P273" t="s">
        <v>31</v>
      </c>
      <c r="Q273" s="2">
        <v>3.0515046296296297E-2</v>
      </c>
      <c r="T273" t="s">
        <v>510</v>
      </c>
      <c r="V273" s="2">
        <v>3.0679398148148147E-2</v>
      </c>
      <c r="W273" t="s">
        <v>32</v>
      </c>
      <c r="X273" t="s">
        <v>30</v>
      </c>
    </row>
    <row r="274" spans="1:24" x14ac:dyDescent="0.3">
      <c r="A274" t="s">
        <v>511</v>
      </c>
      <c r="B274" t="s">
        <v>25</v>
      </c>
      <c r="C274" t="s">
        <v>26</v>
      </c>
      <c r="D274">
        <v>1257</v>
      </c>
      <c r="E274">
        <v>924.06</v>
      </c>
      <c r="F274">
        <v>1257</v>
      </c>
      <c r="G274" t="s">
        <v>27</v>
      </c>
      <c r="H274">
        <v>1243810</v>
      </c>
      <c r="I274" t="s">
        <v>339</v>
      </c>
      <c r="J274" t="s">
        <v>29</v>
      </c>
      <c r="K274" t="s">
        <v>30</v>
      </c>
      <c r="M274" s="1">
        <v>45658</v>
      </c>
      <c r="O274" s="2">
        <v>3.0515046296296297E-2</v>
      </c>
      <c r="P274" t="s">
        <v>31</v>
      </c>
      <c r="Q274" s="2">
        <v>3.0515046296296297E-2</v>
      </c>
      <c r="T274" t="s">
        <v>512</v>
      </c>
      <c r="V274" s="2">
        <v>3.0679398148148147E-2</v>
      </c>
      <c r="W274" t="s">
        <v>32</v>
      </c>
      <c r="X274" t="s">
        <v>30</v>
      </c>
    </row>
    <row r="275" spans="1:24" x14ac:dyDescent="0.3">
      <c r="A275" t="s">
        <v>513</v>
      </c>
      <c r="B275" t="s">
        <v>25</v>
      </c>
      <c r="C275" t="s">
        <v>26</v>
      </c>
      <c r="D275">
        <v>-1341.68</v>
      </c>
      <c r="E275">
        <v>-1001.55</v>
      </c>
      <c r="F275">
        <v>-1341.68</v>
      </c>
      <c r="G275" t="s">
        <v>27</v>
      </c>
      <c r="H275">
        <v>1243810</v>
      </c>
      <c r="I275" t="s">
        <v>339</v>
      </c>
      <c r="J275" t="s">
        <v>29</v>
      </c>
      <c r="K275" t="s">
        <v>30</v>
      </c>
      <c r="M275" s="1">
        <v>45658</v>
      </c>
      <c r="O275" s="2">
        <v>3.0515046296296297E-2</v>
      </c>
      <c r="P275" t="s">
        <v>31</v>
      </c>
      <c r="Q275" s="2">
        <v>3.0515046296296297E-2</v>
      </c>
      <c r="T275" t="s">
        <v>514</v>
      </c>
      <c r="V275" s="2">
        <v>3.0679398148148147E-2</v>
      </c>
      <c r="W275" t="s">
        <v>32</v>
      </c>
      <c r="X275" t="s">
        <v>30</v>
      </c>
    </row>
    <row r="276" spans="1:24" x14ac:dyDescent="0.3">
      <c r="A276" t="s">
        <v>515</v>
      </c>
      <c r="B276" t="s">
        <v>25</v>
      </c>
      <c r="C276" t="s">
        <v>26</v>
      </c>
      <c r="D276">
        <v>16.440000000000001</v>
      </c>
      <c r="E276">
        <v>7.24</v>
      </c>
      <c r="F276">
        <v>16.440000000000001</v>
      </c>
      <c r="G276" t="s">
        <v>27</v>
      </c>
      <c r="H276">
        <v>1243810</v>
      </c>
      <c r="I276" t="s">
        <v>339</v>
      </c>
      <c r="J276" t="s">
        <v>29</v>
      </c>
      <c r="K276" t="s">
        <v>30</v>
      </c>
      <c r="M276" s="1">
        <v>45658</v>
      </c>
      <c r="O276" s="2">
        <v>3.0515046296296297E-2</v>
      </c>
      <c r="P276" t="s">
        <v>31</v>
      </c>
      <c r="Q276" s="2">
        <v>3.0515046296296297E-2</v>
      </c>
      <c r="T276" t="s">
        <v>516</v>
      </c>
      <c r="V276" s="2">
        <v>3.0679398148148147E-2</v>
      </c>
      <c r="W276" t="s">
        <v>32</v>
      </c>
      <c r="X276" t="s">
        <v>30</v>
      </c>
    </row>
    <row r="277" spans="1:24" x14ac:dyDescent="0.3">
      <c r="A277" t="s">
        <v>517</v>
      </c>
      <c r="B277" t="s">
        <v>25</v>
      </c>
      <c r="C277" t="s">
        <v>26</v>
      </c>
      <c r="D277">
        <v>162.32</v>
      </c>
      <c r="E277">
        <v>121.17</v>
      </c>
      <c r="F277">
        <v>162.32</v>
      </c>
      <c r="G277" t="s">
        <v>27</v>
      </c>
      <c r="H277">
        <v>1243810</v>
      </c>
      <c r="I277" t="s">
        <v>339</v>
      </c>
      <c r="J277" t="s">
        <v>29</v>
      </c>
      <c r="K277" t="s">
        <v>30</v>
      </c>
      <c r="M277" s="1">
        <v>45658</v>
      </c>
      <c r="O277" s="2">
        <v>3.0515046296296297E-2</v>
      </c>
      <c r="P277" t="s">
        <v>31</v>
      </c>
      <c r="Q277" s="2">
        <v>3.0515046296296297E-2</v>
      </c>
      <c r="T277" t="s">
        <v>518</v>
      </c>
      <c r="V277" s="2">
        <v>3.0679398148148147E-2</v>
      </c>
      <c r="W277" t="s">
        <v>32</v>
      </c>
      <c r="X277" t="s">
        <v>30</v>
      </c>
    </row>
    <row r="278" spans="1:24" x14ac:dyDescent="0.3">
      <c r="A278" t="s">
        <v>519</v>
      </c>
      <c r="B278" t="s">
        <v>25</v>
      </c>
      <c r="C278" t="s">
        <v>26</v>
      </c>
      <c r="D278">
        <v>-690.48</v>
      </c>
      <c r="E278">
        <v>-515.30999999999995</v>
      </c>
      <c r="F278">
        <v>-690.48</v>
      </c>
      <c r="G278" t="s">
        <v>27</v>
      </c>
      <c r="H278">
        <v>1243810</v>
      </c>
      <c r="I278" t="s">
        <v>339</v>
      </c>
      <c r="J278" t="s">
        <v>29</v>
      </c>
      <c r="K278" t="s">
        <v>30</v>
      </c>
      <c r="M278" s="1">
        <v>45658</v>
      </c>
      <c r="O278" s="2">
        <v>3.0515046296296297E-2</v>
      </c>
      <c r="P278" t="s">
        <v>31</v>
      </c>
      <c r="Q278" s="2">
        <v>3.0515046296296297E-2</v>
      </c>
      <c r="T278" t="s">
        <v>520</v>
      </c>
      <c r="V278" s="2">
        <v>3.0679398148148147E-2</v>
      </c>
      <c r="W278" t="s">
        <v>32</v>
      </c>
      <c r="X278" t="s">
        <v>30</v>
      </c>
    </row>
    <row r="279" spans="1:24" x14ac:dyDescent="0.3">
      <c r="A279" t="s">
        <v>521</v>
      </c>
      <c r="B279" t="s">
        <v>25</v>
      </c>
      <c r="C279" t="s">
        <v>26</v>
      </c>
      <c r="D279">
        <v>-488.42</v>
      </c>
      <c r="E279">
        <v>-364.6</v>
      </c>
      <c r="F279">
        <v>-488.42</v>
      </c>
      <c r="G279" t="s">
        <v>27</v>
      </c>
      <c r="H279">
        <v>1243810</v>
      </c>
      <c r="I279" t="s">
        <v>339</v>
      </c>
      <c r="J279" t="s">
        <v>29</v>
      </c>
      <c r="K279" t="s">
        <v>30</v>
      </c>
      <c r="M279" s="1">
        <v>45658</v>
      </c>
      <c r="O279" s="2">
        <v>3.0515046296296297E-2</v>
      </c>
      <c r="P279" t="s">
        <v>31</v>
      </c>
      <c r="Q279" s="2">
        <v>3.0515046296296297E-2</v>
      </c>
      <c r="T279" t="s">
        <v>522</v>
      </c>
      <c r="V279" s="2">
        <v>3.0679398148148147E-2</v>
      </c>
      <c r="W279" t="s">
        <v>32</v>
      </c>
      <c r="X279" t="s">
        <v>30</v>
      </c>
    </row>
    <row r="280" spans="1:24" x14ac:dyDescent="0.3">
      <c r="A280" t="s">
        <v>523</v>
      </c>
      <c r="B280" t="s">
        <v>25</v>
      </c>
      <c r="C280" t="s">
        <v>26</v>
      </c>
      <c r="D280">
        <v>495.58</v>
      </c>
      <c r="E280">
        <v>369.95</v>
      </c>
      <c r="F280">
        <v>495.58</v>
      </c>
      <c r="G280" t="s">
        <v>27</v>
      </c>
      <c r="H280">
        <v>1243810</v>
      </c>
      <c r="I280" t="s">
        <v>339</v>
      </c>
      <c r="J280" t="s">
        <v>29</v>
      </c>
      <c r="K280" t="s">
        <v>30</v>
      </c>
      <c r="M280" s="1">
        <v>45658</v>
      </c>
      <c r="O280" s="2">
        <v>3.0515046296296297E-2</v>
      </c>
      <c r="P280" t="s">
        <v>31</v>
      </c>
      <c r="Q280" s="2">
        <v>3.0515046296296297E-2</v>
      </c>
      <c r="T280" t="s">
        <v>524</v>
      </c>
      <c r="V280" s="2">
        <v>3.0679398148148147E-2</v>
      </c>
      <c r="W280" t="s">
        <v>32</v>
      </c>
      <c r="X280" t="s">
        <v>30</v>
      </c>
    </row>
    <row r="281" spans="1:24" x14ac:dyDescent="0.3">
      <c r="A281" t="s">
        <v>525</v>
      </c>
      <c r="B281" t="s">
        <v>25</v>
      </c>
      <c r="C281" t="s">
        <v>26</v>
      </c>
      <c r="D281">
        <v>-161.52000000000001</v>
      </c>
      <c r="E281">
        <v>-20.079999999999998</v>
      </c>
      <c r="F281">
        <v>-161.52000000000001</v>
      </c>
      <c r="G281" t="s">
        <v>27</v>
      </c>
      <c r="H281">
        <v>1243810</v>
      </c>
      <c r="I281" t="s">
        <v>339</v>
      </c>
      <c r="J281" t="s">
        <v>29</v>
      </c>
      <c r="K281" t="s">
        <v>30</v>
      </c>
      <c r="M281" s="1">
        <v>45658</v>
      </c>
      <c r="O281" s="2">
        <v>3.0515046296296297E-2</v>
      </c>
      <c r="P281" t="s">
        <v>31</v>
      </c>
      <c r="Q281" s="2">
        <v>3.0515046296296297E-2</v>
      </c>
      <c r="T281" t="s">
        <v>526</v>
      </c>
      <c r="V281" s="2">
        <v>3.0679398148148147E-2</v>
      </c>
      <c r="W281" t="s">
        <v>32</v>
      </c>
      <c r="X281" t="s">
        <v>30</v>
      </c>
    </row>
    <row r="282" spans="1:24" x14ac:dyDescent="0.3">
      <c r="A282" t="s">
        <v>527</v>
      </c>
      <c r="B282" t="s">
        <v>25</v>
      </c>
      <c r="C282" t="s">
        <v>26</v>
      </c>
      <c r="D282">
        <v>-16.13</v>
      </c>
      <c r="E282">
        <v>27.65</v>
      </c>
      <c r="F282">
        <v>-16.13</v>
      </c>
      <c r="G282" t="s">
        <v>27</v>
      </c>
      <c r="H282">
        <v>1243810</v>
      </c>
      <c r="I282" t="s">
        <v>339</v>
      </c>
      <c r="J282" t="s">
        <v>29</v>
      </c>
      <c r="K282" t="s">
        <v>30</v>
      </c>
      <c r="M282" s="1">
        <v>45658</v>
      </c>
      <c r="O282" s="2">
        <v>3.0515046296296297E-2</v>
      </c>
      <c r="P282" t="s">
        <v>31</v>
      </c>
      <c r="Q282" s="2">
        <v>3.0515046296296297E-2</v>
      </c>
      <c r="T282" t="s">
        <v>528</v>
      </c>
      <c r="V282" s="2">
        <v>3.0679398148148147E-2</v>
      </c>
      <c r="W282" t="s">
        <v>32</v>
      </c>
      <c r="X282" t="s">
        <v>30</v>
      </c>
    </row>
    <row r="283" spans="1:24" x14ac:dyDescent="0.3">
      <c r="A283" t="s">
        <v>529</v>
      </c>
      <c r="B283" t="s">
        <v>25</v>
      </c>
      <c r="C283" t="s">
        <v>26</v>
      </c>
      <c r="D283">
        <v>-429.57</v>
      </c>
      <c r="E283">
        <v>-318.14</v>
      </c>
      <c r="F283">
        <v>-429.57</v>
      </c>
      <c r="G283" t="s">
        <v>27</v>
      </c>
      <c r="H283">
        <v>1243810</v>
      </c>
      <c r="I283" t="s">
        <v>339</v>
      </c>
      <c r="J283" t="s">
        <v>29</v>
      </c>
      <c r="K283" t="s">
        <v>30</v>
      </c>
      <c r="M283" s="1">
        <v>45658</v>
      </c>
      <c r="O283" s="2">
        <v>3.0515046296296297E-2</v>
      </c>
      <c r="P283" t="s">
        <v>31</v>
      </c>
      <c r="Q283" s="2">
        <v>3.0515046296296297E-2</v>
      </c>
      <c r="T283" t="s">
        <v>530</v>
      </c>
      <c r="V283" s="2">
        <v>3.0679398148148147E-2</v>
      </c>
      <c r="W283" t="s">
        <v>32</v>
      </c>
      <c r="X283" t="s">
        <v>30</v>
      </c>
    </row>
    <row r="284" spans="1:24" x14ac:dyDescent="0.3">
      <c r="A284" t="s">
        <v>531</v>
      </c>
      <c r="B284" t="s">
        <v>25</v>
      </c>
      <c r="C284" t="s">
        <v>26</v>
      </c>
      <c r="D284">
        <v>-817.96</v>
      </c>
      <c r="E284">
        <v>-611.70000000000005</v>
      </c>
      <c r="F284">
        <v>-817.96</v>
      </c>
      <c r="G284" t="s">
        <v>27</v>
      </c>
      <c r="H284">
        <v>1243810</v>
      </c>
      <c r="I284" t="s">
        <v>339</v>
      </c>
      <c r="J284" t="s">
        <v>29</v>
      </c>
      <c r="K284" t="s">
        <v>30</v>
      </c>
      <c r="M284" s="1">
        <v>45658</v>
      </c>
      <c r="O284" s="2">
        <v>3.0515046296296297E-2</v>
      </c>
      <c r="P284" t="s">
        <v>31</v>
      </c>
      <c r="Q284" s="2">
        <v>3.0515046296296297E-2</v>
      </c>
      <c r="T284" t="s">
        <v>532</v>
      </c>
      <c r="V284" s="2">
        <v>3.0679398148148147E-2</v>
      </c>
      <c r="W284" t="s">
        <v>32</v>
      </c>
      <c r="X284" t="s">
        <v>30</v>
      </c>
    </row>
    <row r="285" spans="1:24" x14ac:dyDescent="0.3">
      <c r="A285" t="s">
        <v>533</v>
      </c>
      <c r="B285" t="s">
        <v>25</v>
      </c>
      <c r="C285" t="s">
        <v>26</v>
      </c>
      <c r="D285">
        <v>-273.36</v>
      </c>
      <c r="E285">
        <v>-204.06</v>
      </c>
      <c r="F285">
        <v>-273.36</v>
      </c>
      <c r="G285" t="s">
        <v>27</v>
      </c>
      <c r="H285">
        <v>1243810</v>
      </c>
      <c r="I285" t="s">
        <v>339</v>
      </c>
      <c r="J285" t="s">
        <v>29</v>
      </c>
      <c r="K285" t="s">
        <v>30</v>
      </c>
      <c r="M285" s="1">
        <v>45658</v>
      </c>
      <c r="O285" s="2">
        <v>3.0515046296296297E-2</v>
      </c>
      <c r="P285" t="s">
        <v>31</v>
      </c>
      <c r="Q285" s="2">
        <v>3.0515046296296297E-2</v>
      </c>
      <c r="T285" t="s">
        <v>534</v>
      </c>
      <c r="V285" s="2">
        <v>3.0679398148148147E-2</v>
      </c>
      <c r="W285" t="s">
        <v>32</v>
      </c>
      <c r="X285" t="s">
        <v>30</v>
      </c>
    </row>
    <row r="286" spans="1:24" x14ac:dyDescent="0.3">
      <c r="A286" t="s">
        <v>535</v>
      </c>
      <c r="B286" t="s">
        <v>25</v>
      </c>
      <c r="C286" t="s">
        <v>26</v>
      </c>
      <c r="D286">
        <v>2.96</v>
      </c>
      <c r="E286">
        <v>2.21</v>
      </c>
      <c r="F286">
        <v>2.96</v>
      </c>
      <c r="G286" t="s">
        <v>27</v>
      </c>
      <c r="H286">
        <v>1243810</v>
      </c>
      <c r="I286" t="s">
        <v>339</v>
      </c>
      <c r="J286" t="s">
        <v>29</v>
      </c>
      <c r="K286" t="s">
        <v>30</v>
      </c>
      <c r="M286" s="1">
        <v>45658</v>
      </c>
      <c r="O286" s="2">
        <v>3.0515046296296297E-2</v>
      </c>
      <c r="P286" t="s">
        <v>31</v>
      </c>
      <c r="Q286" s="2">
        <v>3.0515046296296297E-2</v>
      </c>
      <c r="T286" t="s">
        <v>536</v>
      </c>
      <c r="V286" s="2">
        <v>3.0679398148148147E-2</v>
      </c>
      <c r="W286" t="s">
        <v>32</v>
      </c>
      <c r="X286" t="s">
        <v>30</v>
      </c>
    </row>
    <row r="287" spans="1:24" x14ac:dyDescent="0.3">
      <c r="A287" t="s">
        <v>537</v>
      </c>
      <c r="B287" t="s">
        <v>25</v>
      </c>
      <c r="C287" t="s">
        <v>26</v>
      </c>
      <c r="D287">
        <v>-160</v>
      </c>
      <c r="E287">
        <v>-118.8</v>
      </c>
      <c r="F287">
        <v>-160</v>
      </c>
      <c r="G287" t="s">
        <v>27</v>
      </c>
      <c r="H287">
        <v>1243810</v>
      </c>
      <c r="I287" t="s">
        <v>339</v>
      </c>
      <c r="J287" t="s">
        <v>29</v>
      </c>
      <c r="K287" t="s">
        <v>30</v>
      </c>
      <c r="M287" s="1">
        <v>45658</v>
      </c>
      <c r="O287" s="2">
        <v>3.0515046296296297E-2</v>
      </c>
      <c r="P287" t="s">
        <v>31</v>
      </c>
      <c r="Q287" s="2">
        <v>3.0515046296296297E-2</v>
      </c>
      <c r="T287" t="s">
        <v>538</v>
      </c>
      <c r="V287" s="2">
        <v>3.0679398148148147E-2</v>
      </c>
      <c r="W287" t="s">
        <v>32</v>
      </c>
      <c r="X287" t="s">
        <v>30</v>
      </c>
    </row>
    <row r="288" spans="1:24" x14ac:dyDescent="0.3">
      <c r="A288" t="s">
        <v>539</v>
      </c>
      <c r="B288" t="s">
        <v>25</v>
      </c>
      <c r="C288" t="s">
        <v>26</v>
      </c>
      <c r="D288">
        <v>-443.67</v>
      </c>
      <c r="E288">
        <v>-347.7</v>
      </c>
      <c r="F288">
        <v>-443.67</v>
      </c>
      <c r="G288" t="s">
        <v>27</v>
      </c>
      <c r="H288">
        <v>1243810</v>
      </c>
      <c r="I288" t="s">
        <v>339</v>
      </c>
      <c r="J288" t="s">
        <v>29</v>
      </c>
      <c r="K288" t="s">
        <v>30</v>
      </c>
      <c r="M288" s="1">
        <v>45658</v>
      </c>
      <c r="O288" s="2">
        <v>3.0515046296296297E-2</v>
      </c>
      <c r="P288" t="s">
        <v>31</v>
      </c>
      <c r="Q288" s="2">
        <v>3.0515046296296297E-2</v>
      </c>
      <c r="T288" t="s">
        <v>540</v>
      </c>
      <c r="V288" s="2">
        <v>3.0679398148148147E-2</v>
      </c>
      <c r="W288" t="s">
        <v>32</v>
      </c>
      <c r="X288" t="s">
        <v>30</v>
      </c>
    </row>
    <row r="289" spans="1:24" x14ac:dyDescent="0.3">
      <c r="A289" t="s">
        <v>541</v>
      </c>
      <c r="B289" t="s">
        <v>25</v>
      </c>
      <c r="C289" t="s">
        <v>26</v>
      </c>
      <c r="D289">
        <v>21.1</v>
      </c>
      <c r="E289">
        <v>15.75</v>
      </c>
      <c r="F289">
        <v>21.1</v>
      </c>
      <c r="G289" t="s">
        <v>27</v>
      </c>
      <c r="H289">
        <v>1243810</v>
      </c>
      <c r="I289" t="s">
        <v>339</v>
      </c>
      <c r="J289" t="s">
        <v>29</v>
      </c>
      <c r="K289" t="s">
        <v>30</v>
      </c>
      <c r="M289" s="1">
        <v>45658</v>
      </c>
      <c r="O289" s="2">
        <v>3.0515046296296297E-2</v>
      </c>
      <c r="P289" t="s">
        <v>31</v>
      </c>
      <c r="Q289" s="2">
        <v>3.0515046296296297E-2</v>
      </c>
      <c r="T289" t="s">
        <v>542</v>
      </c>
      <c r="V289" s="2">
        <v>3.0679398148148147E-2</v>
      </c>
      <c r="W289" t="s">
        <v>32</v>
      </c>
      <c r="X289" t="s">
        <v>30</v>
      </c>
    </row>
    <row r="290" spans="1:24" x14ac:dyDescent="0.3">
      <c r="A290" t="s">
        <v>543</v>
      </c>
      <c r="B290" t="s">
        <v>25</v>
      </c>
      <c r="C290" t="s">
        <v>26</v>
      </c>
      <c r="D290">
        <v>-143.69999999999999</v>
      </c>
      <c r="E290">
        <v>-107.27</v>
      </c>
      <c r="F290">
        <v>-143.69999999999999</v>
      </c>
      <c r="G290" t="s">
        <v>27</v>
      </c>
      <c r="H290">
        <v>1243810</v>
      </c>
      <c r="I290" t="s">
        <v>339</v>
      </c>
      <c r="J290" t="s">
        <v>29</v>
      </c>
      <c r="K290" t="s">
        <v>30</v>
      </c>
      <c r="M290" s="1">
        <v>45658</v>
      </c>
      <c r="O290" s="2">
        <v>3.0515046296296297E-2</v>
      </c>
      <c r="P290" t="s">
        <v>31</v>
      </c>
      <c r="Q290" s="2">
        <v>3.0515046296296297E-2</v>
      </c>
      <c r="T290" t="s">
        <v>544</v>
      </c>
      <c r="V290" s="2">
        <v>3.0679398148148147E-2</v>
      </c>
      <c r="W290" t="s">
        <v>32</v>
      </c>
      <c r="X290" t="s">
        <v>30</v>
      </c>
    </row>
    <row r="291" spans="1:24" x14ac:dyDescent="0.3">
      <c r="A291" t="s">
        <v>545</v>
      </c>
      <c r="B291" t="s">
        <v>25</v>
      </c>
      <c r="C291" t="s">
        <v>26</v>
      </c>
      <c r="D291">
        <v>15.13</v>
      </c>
      <c r="E291">
        <v>11.29</v>
      </c>
      <c r="F291">
        <v>15.13</v>
      </c>
      <c r="G291" t="s">
        <v>27</v>
      </c>
      <c r="H291">
        <v>1243810</v>
      </c>
      <c r="I291" t="s">
        <v>339</v>
      </c>
      <c r="J291" t="s">
        <v>29</v>
      </c>
      <c r="K291" t="s">
        <v>30</v>
      </c>
      <c r="M291" s="1">
        <v>45658</v>
      </c>
      <c r="O291" s="2">
        <v>3.0515046296296297E-2</v>
      </c>
      <c r="P291" t="s">
        <v>31</v>
      </c>
      <c r="Q291" s="2">
        <v>3.0515046296296297E-2</v>
      </c>
      <c r="T291" t="s">
        <v>546</v>
      </c>
      <c r="V291" s="2">
        <v>3.0679398148148147E-2</v>
      </c>
      <c r="W291" t="s">
        <v>32</v>
      </c>
      <c r="X291" t="s">
        <v>30</v>
      </c>
    </row>
    <row r="292" spans="1:24" x14ac:dyDescent="0.3">
      <c r="A292" t="s">
        <v>547</v>
      </c>
      <c r="B292" t="s">
        <v>25</v>
      </c>
      <c r="C292" t="s">
        <v>26</v>
      </c>
      <c r="D292">
        <v>-31.37</v>
      </c>
      <c r="E292">
        <v>-24.05</v>
      </c>
      <c r="F292">
        <v>-31.37</v>
      </c>
      <c r="G292" t="s">
        <v>27</v>
      </c>
      <c r="H292">
        <v>1243810</v>
      </c>
      <c r="I292" t="s">
        <v>339</v>
      </c>
      <c r="J292" t="s">
        <v>29</v>
      </c>
      <c r="K292" t="s">
        <v>30</v>
      </c>
      <c r="M292" s="1">
        <v>45658</v>
      </c>
      <c r="O292" s="2">
        <v>3.0515046296296297E-2</v>
      </c>
      <c r="P292" t="s">
        <v>31</v>
      </c>
      <c r="Q292" s="2">
        <v>3.0515046296296297E-2</v>
      </c>
      <c r="T292" t="s">
        <v>548</v>
      </c>
      <c r="V292" s="2">
        <v>3.0679398148148147E-2</v>
      </c>
      <c r="W292" t="s">
        <v>32</v>
      </c>
      <c r="X292" t="s">
        <v>30</v>
      </c>
    </row>
    <row r="293" spans="1:24" x14ac:dyDescent="0.3">
      <c r="A293" t="s">
        <v>549</v>
      </c>
      <c r="B293" t="s">
        <v>25</v>
      </c>
      <c r="C293" t="s">
        <v>26</v>
      </c>
      <c r="D293">
        <v>-3261.42</v>
      </c>
      <c r="E293">
        <v>-2421.34</v>
      </c>
      <c r="F293">
        <v>-3261.42</v>
      </c>
      <c r="G293" t="s">
        <v>27</v>
      </c>
      <c r="H293">
        <v>1243810</v>
      </c>
      <c r="I293" t="s">
        <v>339</v>
      </c>
      <c r="J293" t="s">
        <v>29</v>
      </c>
      <c r="K293" t="s">
        <v>30</v>
      </c>
      <c r="M293" s="1">
        <v>45658</v>
      </c>
      <c r="O293" s="2">
        <v>3.0515046296296297E-2</v>
      </c>
      <c r="P293" t="s">
        <v>31</v>
      </c>
      <c r="Q293" s="2">
        <v>3.0515046296296297E-2</v>
      </c>
      <c r="T293" t="s">
        <v>550</v>
      </c>
      <c r="V293" s="2">
        <v>3.0679398148148147E-2</v>
      </c>
      <c r="W293" t="s">
        <v>32</v>
      </c>
      <c r="X293" t="s">
        <v>30</v>
      </c>
    </row>
    <row r="294" spans="1:24" x14ac:dyDescent="0.3">
      <c r="A294" t="s">
        <v>551</v>
      </c>
      <c r="B294" t="s">
        <v>25</v>
      </c>
      <c r="C294" t="s">
        <v>26</v>
      </c>
      <c r="D294">
        <v>107.65</v>
      </c>
      <c r="E294">
        <v>79.48</v>
      </c>
      <c r="F294">
        <v>107.65</v>
      </c>
      <c r="G294" t="s">
        <v>27</v>
      </c>
      <c r="H294">
        <v>1243810</v>
      </c>
      <c r="I294" t="s">
        <v>339</v>
      </c>
      <c r="J294" t="s">
        <v>29</v>
      </c>
      <c r="K294" t="s">
        <v>30</v>
      </c>
      <c r="M294" s="1">
        <v>45658</v>
      </c>
      <c r="O294" s="2">
        <v>3.0515046296296297E-2</v>
      </c>
      <c r="P294" t="s">
        <v>31</v>
      </c>
      <c r="Q294" s="2">
        <v>3.0515046296296297E-2</v>
      </c>
      <c r="T294" t="s">
        <v>552</v>
      </c>
      <c r="V294" s="2">
        <v>3.0679398148148147E-2</v>
      </c>
      <c r="W294" t="s">
        <v>32</v>
      </c>
      <c r="X294" t="s">
        <v>30</v>
      </c>
    </row>
    <row r="295" spans="1:24" x14ac:dyDescent="0.3">
      <c r="A295" t="s">
        <v>553</v>
      </c>
      <c r="B295" t="s">
        <v>25</v>
      </c>
      <c r="C295" t="s">
        <v>26</v>
      </c>
      <c r="D295">
        <v>7.51</v>
      </c>
      <c r="E295">
        <v>5.61</v>
      </c>
      <c r="F295">
        <v>7.51</v>
      </c>
      <c r="G295" t="s">
        <v>27</v>
      </c>
      <c r="H295">
        <v>1243810</v>
      </c>
      <c r="I295" t="s">
        <v>339</v>
      </c>
      <c r="J295" t="s">
        <v>29</v>
      </c>
      <c r="K295" t="s">
        <v>30</v>
      </c>
      <c r="M295" s="1">
        <v>45658</v>
      </c>
      <c r="O295" s="2">
        <v>3.0515046296296297E-2</v>
      </c>
      <c r="P295" t="s">
        <v>31</v>
      </c>
      <c r="Q295" s="2">
        <v>3.0515046296296297E-2</v>
      </c>
      <c r="T295" t="s">
        <v>554</v>
      </c>
      <c r="V295" s="2">
        <v>3.0679398148148147E-2</v>
      </c>
      <c r="W295" t="s">
        <v>32</v>
      </c>
      <c r="X295" t="s">
        <v>30</v>
      </c>
    </row>
    <row r="296" spans="1:24" x14ac:dyDescent="0.3">
      <c r="A296" t="s">
        <v>555</v>
      </c>
      <c r="B296" t="s">
        <v>25</v>
      </c>
      <c r="C296" t="s">
        <v>26</v>
      </c>
      <c r="D296">
        <v>-741.12</v>
      </c>
      <c r="E296">
        <v>-581.94000000000005</v>
      </c>
      <c r="F296">
        <v>-741.12</v>
      </c>
      <c r="G296" t="s">
        <v>27</v>
      </c>
      <c r="H296">
        <v>1243810</v>
      </c>
      <c r="I296" t="s">
        <v>339</v>
      </c>
      <c r="J296" t="s">
        <v>29</v>
      </c>
      <c r="K296" t="s">
        <v>30</v>
      </c>
      <c r="M296" s="1">
        <v>45658</v>
      </c>
      <c r="O296" s="2">
        <v>3.0515046296296297E-2</v>
      </c>
      <c r="P296" t="s">
        <v>31</v>
      </c>
      <c r="Q296" s="2">
        <v>3.0515046296296297E-2</v>
      </c>
      <c r="T296" t="s">
        <v>556</v>
      </c>
      <c r="V296" s="2">
        <v>3.0679398148148147E-2</v>
      </c>
      <c r="W296" t="s">
        <v>32</v>
      </c>
      <c r="X296" t="s">
        <v>30</v>
      </c>
    </row>
    <row r="297" spans="1:24" x14ac:dyDescent="0.3">
      <c r="A297" t="s">
        <v>557</v>
      </c>
      <c r="B297" t="s">
        <v>25</v>
      </c>
      <c r="C297" t="s">
        <v>26</v>
      </c>
      <c r="D297">
        <v>4.05</v>
      </c>
      <c r="E297">
        <v>3.02</v>
      </c>
      <c r="F297">
        <v>4.05</v>
      </c>
      <c r="G297" t="s">
        <v>27</v>
      </c>
      <c r="H297">
        <v>1243810</v>
      </c>
      <c r="I297" t="s">
        <v>339</v>
      </c>
      <c r="J297" t="s">
        <v>29</v>
      </c>
      <c r="K297" t="s">
        <v>30</v>
      </c>
      <c r="M297" s="1">
        <v>45658</v>
      </c>
      <c r="O297" s="2">
        <v>3.0515046296296297E-2</v>
      </c>
      <c r="P297" t="s">
        <v>31</v>
      </c>
      <c r="Q297" s="2">
        <v>3.0515046296296297E-2</v>
      </c>
      <c r="T297" t="s">
        <v>558</v>
      </c>
      <c r="V297" s="2">
        <v>3.0679398148148147E-2</v>
      </c>
      <c r="W297" t="s">
        <v>32</v>
      </c>
      <c r="X297" t="s">
        <v>30</v>
      </c>
    </row>
    <row r="298" spans="1:24" x14ac:dyDescent="0.3">
      <c r="A298" t="s">
        <v>559</v>
      </c>
      <c r="B298" t="s">
        <v>25</v>
      </c>
      <c r="C298" t="s">
        <v>26</v>
      </c>
      <c r="D298">
        <v>6.39</v>
      </c>
      <c r="E298">
        <v>4.7699999999999996</v>
      </c>
      <c r="F298">
        <v>6.39</v>
      </c>
      <c r="G298" t="s">
        <v>27</v>
      </c>
      <c r="H298">
        <v>1243810</v>
      </c>
      <c r="I298" t="s">
        <v>339</v>
      </c>
      <c r="J298" t="s">
        <v>29</v>
      </c>
      <c r="K298" t="s">
        <v>30</v>
      </c>
      <c r="M298" s="1">
        <v>45658</v>
      </c>
      <c r="O298" s="2">
        <v>3.0515046296296297E-2</v>
      </c>
      <c r="P298" t="s">
        <v>31</v>
      </c>
      <c r="Q298" s="2">
        <v>3.0515046296296297E-2</v>
      </c>
      <c r="T298" t="s">
        <v>560</v>
      </c>
      <c r="V298" s="2">
        <v>3.0679398148148147E-2</v>
      </c>
      <c r="W298" t="s">
        <v>32</v>
      </c>
      <c r="X298" t="s">
        <v>30</v>
      </c>
    </row>
    <row r="299" spans="1:24" x14ac:dyDescent="0.3">
      <c r="A299" t="s">
        <v>561</v>
      </c>
      <c r="B299" t="s">
        <v>25</v>
      </c>
      <c r="C299" t="s">
        <v>26</v>
      </c>
      <c r="D299">
        <v>21.68</v>
      </c>
      <c r="E299">
        <v>16.18</v>
      </c>
      <c r="F299">
        <v>21.68</v>
      </c>
      <c r="G299" t="s">
        <v>27</v>
      </c>
      <c r="H299">
        <v>1243810</v>
      </c>
      <c r="I299" t="s">
        <v>339</v>
      </c>
      <c r="J299" t="s">
        <v>29</v>
      </c>
      <c r="K299" t="s">
        <v>30</v>
      </c>
      <c r="M299" s="1">
        <v>45658</v>
      </c>
      <c r="O299" s="2">
        <v>3.0515046296296297E-2</v>
      </c>
      <c r="P299" t="s">
        <v>31</v>
      </c>
      <c r="Q299" s="2">
        <v>3.0515046296296297E-2</v>
      </c>
      <c r="T299" t="s">
        <v>562</v>
      </c>
      <c r="V299" s="2">
        <v>3.0679398148148147E-2</v>
      </c>
      <c r="W299" t="s">
        <v>32</v>
      </c>
      <c r="X299" t="s">
        <v>30</v>
      </c>
    </row>
    <row r="300" spans="1:24" x14ac:dyDescent="0.3">
      <c r="A300" t="s">
        <v>563</v>
      </c>
      <c r="B300" t="s">
        <v>25</v>
      </c>
      <c r="C300" t="s">
        <v>26</v>
      </c>
      <c r="D300">
        <v>-434.28</v>
      </c>
      <c r="E300">
        <v>-205.04</v>
      </c>
      <c r="F300">
        <v>-434.28</v>
      </c>
      <c r="G300" t="s">
        <v>27</v>
      </c>
      <c r="H300">
        <v>1243810</v>
      </c>
      <c r="I300" t="s">
        <v>339</v>
      </c>
      <c r="J300" t="s">
        <v>29</v>
      </c>
      <c r="K300" t="s">
        <v>30</v>
      </c>
      <c r="M300" s="1">
        <v>45658</v>
      </c>
      <c r="O300" s="2">
        <v>3.0515046296296297E-2</v>
      </c>
      <c r="P300" t="s">
        <v>31</v>
      </c>
      <c r="Q300" s="2">
        <v>3.0515046296296297E-2</v>
      </c>
      <c r="T300" t="s">
        <v>564</v>
      </c>
      <c r="V300" s="2">
        <v>3.0679398148148147E-2</v>
      </c>
      <c r="W300" t="s">
        <v>32</v>
      </c>
      <c r="X300" t="s">
        <v>30</v>
      </c>
    </row>
    <row r="301" spans="1:24" x14ac:dyDescent="0.3">
      <c r="A301" t="s">
        <v>565</v>
      </c>
      <c r="B301" t="s">
        <v>366</v>
      </c>
      <c r="C301" t="s">
        <v>26</v>
      </c>
      <c r="D301">
        <v>-4060.92</v>
      </c>
      <c r="E301">
        <v>-3024.22</v>
      </c>
      <c r="F301">
        <v>-4060.92</v>
      </c>
      <c r="H301">
        <v>3302000</v>
      </c>
      <c r="I301" t="s">
        <v>279</v>
      </c>
      <c r="J301" t="s">
        <v>29</v>
      </c>
      <c r="K301" t="s">
        <v>30</v>
      </c>
      <c r="M301" s="1">
        <v>45658</v>
      </c>
      <c r="O301" s="2">
        <v>3.0515046296296297E-2</v>
      </c>
      <c r="P301" t="s">
        <v>31</v>
      </c>
      <c r="Q301" s="2">
        <v>3.0515046296296297E-2</v>
      </c>
      <c r="T301" t="s">
        <v>566</v>
      </c>
      <c r="V301" s="2">
        <v>3.0679398148148147E-2</v>
      </c>
      <c r="W301" t="s">
        <v>32</v>
      </c>
      <c r="X301" t="s">
        <v>368</v>
      </c>
    </row>
    <row r="302" spans="1:24" x14ac:dyDescent="0.3">
      <c r="A302" t="s">
        <v>567</v>
      </c>
      <c r="B302" t="s">
        <v>366</v>
      </c>
      <c r="C302" t="s">
        <v>26</v>
      </c>
      <c r="D302">
        <v>-142794.22</v>
      </c>
      <c r="E302">
        <v>-107000.04</v>
      </c>
      <c r="F302">
        <v>-142794.22</v>
      </c>
      <c r="H302">
        <v>3302000</v>
      </c>
      <c r="I302" t="s">
        <v>279</v>
      </c>
      <c r="J302" t="s">
        <v>29</v>
      </c>
      <c r="K302" t="s">
        <v>30</v>
      </c>
      <c r="M302" s="1">
        <v>45658</v>
      </c>
      <c r="O302" s="2">
        <v>3.0515046296296297E-2</v>
      </c>
      <c r="P302" t="s">
        <v>31</v>
      </c>
      <c r="Q302" s="2">
        <v>3.0515046296296297E-2</v>
      </c>
      <c r="T302" t="s">
        <v>440</v>
      </c>
      <c r="V302" s="2">
        <v>3.0679398148148147E-2</v>
      </c>
      <c r="W302" t="s">
        <v>32</v>
      </c>
      <c r="X302" t="s">
        <v>368</v>
      </c>
    </row>
    <row r="303" spans="1:24" x14ac:dyDescent="0.3">
      <c r="A303" t="s">
        <v>568</v>
      </c>
      <c r="B303" t="s">
        <v>366</v>
      </c>
      <c r="C303" t="s">
        <v>26</v>
      </c>
      <c r="D303">
        <v>-134119.76</v>
      </c>
      <c r="E303">
        <v>-100500</v>
      </c>
      <c r="F303">
        <v>-134119.76</v>
      </c>
      <c r="H303">
        <v>3302000</v>
      </c>
      <c r="I303" t="s">
        <v>279</v>
      </c>
      <c r="J303" t="s">
        <v>29</v>
      </c>
      <c r="K303" t="s">
        <v>30</v>
      </c>
      <c r="M303" s="1">
        <v>45658</v>
      </c>
      <c r="O303" s="2">
        <v>3.0515046296296297E-2</v>
      </c>
      <c r="P303" t="s">
        <v>31</v>
      </c>
      <c r="Q303" s="2">
        <v>3.0515046296296297E-2</v>
      </c>
      <c r="T303" t="s">
        <v>569</v>
      </c>
      <c r="V303" s="2">
        <v>3.0679398148148147E-2</v>
      </c>
      <c r="W303" t="s">
        <v>32</v>
      </c>
      <c r="X303" t="s">
        <v>368</v>
      </c>
    </row>
    <row r="304" spans="1:24" x14ac:dyDescent="0.3">
      <c r="A304" t="s">
        <v>570</v>
      </c>
      <c r="B304" t="s">
        <v>366</v>
      </c>
      <c r="C304" t="s">
        <v>26</v>
      </c>
      <c r="D304">
        <v>206.86</v>
      </c>
      <c r="E304">
        <v>0</v>
      </c>
      <c r="F304">
        <v>206.86</v>
      </c>
      <c r="H304">
        <v>3302000</v>
      </c>
      <c r="I304" t="s">
        <v>279</v>
      </c>
      <c r="J304" t="s">
        <v>29</v>
      </c>
      <c r="K304" t="s">
        <v>30</v>
      </c>
      <c r="M304" s="1">
        <v>45658</v>
      </c>
      <c r="O304" s="2">
        <v>3.0515046296296297E-2</v>
      </c>
      <c r="P304" t="s">
        <v>31</v>
      </c>
      <c r="Q304" s="2">
        <v>3.0515046296296297E-2</v>
      </c>
      <c r="T304" t="s">
        <v>571</v>
      </c>
      <c r="V304" s="2">
        <v>3.0679398148148147E-2</v>
      </c>
      <c r="W304" t="s">
        <v>32</v>
      </c>
      <c r="X304" t="s">
        <v>368</v>
      </c>
    </row>
    <row r="305" spans="1:24" x14ac:dyDescent="0.3">
      <c r="A305" t="s">
        <v>572</v>
      </c>
      <c r="B305" t="s">
        <v>366</v>
      </c>
      <c r="C305" t="s">
        <v>26</v>
      </c>
      <c r="D305">
        <v>-120470.24</v>
      </c>
      <c r="E305">
        <v>-89558</v>
      </c>
      <c r="F305">
        <v>-120470.24</v>
      </c>
      <c r="H305">
        <v>3302000</v>
      </c>
      <c r="I305" t="s">
        <v>279</v>
      </c>
      <c r="J305" t="s">
        <v>29</v>
      </c>
      <c r="K305" t="s">
        <v>30</v>
      </c>
      <c r="M305" s="1">
        <v>45658</v>
      </c>
      <c r="O305" s="2">
        <v>3.0515046296296297E-2</v>
      </c>
      <c r="P305" t="s">
        <v>31</v>
      </c>
      <c r="Q305" s="2">
        <v>3.0515046296296297E-2</v>
      </c>
      <c r="T305" t="s">
        <v>573</v>
      </c>
      <c r="V305" s="2">
        <v>3.0679398148148147E-2</v>
      </c>
      <c r="W305" t="s">
        <v>32</v>
      </c>
      <c r="X305" t="s">
        <v>368</v>
      </c>
    </row>
    <row r="306" spans="1:24" x14ac:dyDescent="0.3">
      <c r="A306" t="s">
        <v>574</v>
      </c>
      <c r="B306" t="s">
        <v>366</v>
      </c>
      <c r="C306" t="s">
        <v>26</v>
      </c>
      <c r="D306">
        <v>0</v>
      </c>
      <c r="E306">
        <v>0</v>
      </c>
      <c r="F306">
        <v>0</v>
      </c>
      <c r="H306">
        <v>3302000</v>
      </c>
      <c r="I306" t="s">
        <v>279</v>
      </c>
      <c r="J306" t="s">
        <v>29</v>
      </c>
      <c r="K306" t="s">
        <v>30</v>
      </c>
      <c r="M306" s="1">
        <v>45658</v>
      </c>
      <c r="O306" s="2">
        <v>3.0515046296296297E-2</v>
      </c>
      <c r="P306" t="s">
        <v>31</v>
      </c>
      <c r="Q306" s="2">
        <v>3.0515046296296297E-2</v>
      </c>
      <c r="T306" t="s">
        <v>575</v>
      </c>
      <c r="V306" s="2">
        <v>3.0679398148148147E-2</v>
      </c>
      <c r="W306" t="s">
        <v>32</v>
      </c>
      <c r="X306" t="s">
        <v>368</v>
      </c>
    </row>
    <row r="307" spans="1:24" x14ac:dyDescent="0.3">
      <c r="A307" t="s">
        <v>576</v>
      </c>
      <c r="B307" t="s">
        <v>366</v>
      </c>
      <c r="C307" t="s">
        <v>26</v>
      </c>
      <c r="D307">
        <v>-1052</v>
      </c>
      <c r="E307">
        <v>-778.68</v>
      </c>
      <c r="F307">
        <v>-1052</v>
      </c>
      <c r="H307">
        <v>3302000</v>
      </c>
      <c r="I307" t="s">
        <v>279</v>
      </c>
      <c r="J307" t="s">
        <v>29</v>
      </c>
      <c r="K307" t="s">
        <v>30</v>
      </c>
      <c r="M307" s="1">
        <v>45658</v>
      </c>
      <c r="O307" s="2">
        <v>3.0515046296296297E-2</v>
      </c>
      <c r="P307" t="s">
        <v>31</v>
      </c>
      <c r="Q307" s="2">
        <v>3.0515046296296297E-2</v>
      </c>
      <c r="T307" t="s">
        <v>577</v>
      </c>
      <c r="V307" s="2">
        <v>3.0679398148148147E-2</v>
      </c>
      <c r="W307" t="s">
        <v>32</v>
      </c>
      <c r="X307" t="s">
        <v>368</v>
      </c>
    </row>
    <row r="308" spans="1:24" x14ac:dyDescent="0.3">
      <c r="A308" t="s">
        <v>578</v>
      </c>
      <c r="B308" t="s">
        <v>366</v>
      </c>
      <c r="C308" t="s">
        <v>26</v>
      </c>
      <c r="D308">
        <v>-222994.32</v>
      </c>
      <c r="E308">
        <v>-167079.96</v>
      </c>
      <c r="F308">
        <v>-222994.32</v>
      </c>
      <c r="H308">
        <v>3302000</v>
      </c>
      <c r="I308" t="s">
        <v>279</v>
      </c>
      <c r="J308" t="s">
        <v>29</v>
      </c>
      <c r="K308" t="s">
        <v>30</v>
      </c>
      <c r="M308" s="1">
        <v>45658</v>
      </c>
      <c r="O308" s="2">
        <v>3.0515046296296297E-2</v>
      </c>
      <c r="P308" t="s">
        <v>31</v>
      </c>
      <c r="Q308" s="2">
        <v>3.0515046296296297E-2</v>
      </c>
      <c r="T308" t="s">
        <v>579</v>
      </c>
      <c r="V308" s="2">
        <v>3.0679398148148147E-2</v>
      </c>
      <c r="W308" t="s">
        <v>32</v>
      </c>
      <c r="X308" t="s">
        <v>368</v>
      </c>
    </row>
    <row r="309" spans="1:24" x14ac:dyDescent="0.3">
      <c r="A309" t="s">
        <v>580</v>
      </c>
      <c r="B309" t="s">
        <v>366</v>
      </c>
      <c r="C309" t="s">
        <v>26</v>
      </c>
      <c r="D309">
        <v>-138790.66</v>
      </c>
      <c r="E309">
        <v>-104000.04</v>
      </c>
      <c r="F309">
        <v>-138790.66</v>
      </c>
      <c r="H309">
        <v>3302000</v>
      </c>
      <c r="I309" t="s">
        <v>279</v>
      </c>
      <c r="J309" t="s">
        <v>29</v>
      </c>
      <c r="K309" t="s">
        <v>30</v>
      </c>
      <c r="M309" s="1">
        <v>45658</v>
      </c>
      <c r="O309" s="2">
        <v>3.0515046296296297E-2</v>
      </c>
      <c r="P309" t="s">
        <v>31</v>
      </c>
      <c r="Q309" s="2">
        <v>3.0515046296296297E-2</v>
      </c>
      <c r="T309" t="s">
        <v>581</v>
      </c>
      <c r="V309" s="2">
        <v>3.0679398148148147E-2</v>
      </c>
      <c r="W309" t="s">
        <v>32</v>
      </c>
      <c r="X309" t="s">
        <v>368</v>
      </c>
    </row>
    <row r="310" spans="1:24" x14ac:dyDescent="0.3">
      <c r="A310" t="s">
        <v>582</v>
      </c>
      <c r="B310" t="s">
        <v>366</v>
      </c>
      <c r="C310" t="s">
        <v>26</v>
      </c>
      <c r="D310">
        <v>-96980.42</v>
      </c>
      <c r="E310">
        <v>-72402.77</v>
      </c>
      <c r="F310">
        <v>-96980.42</v>
      </c>
      <c r="H310">
        <v>3302000</v>
      </c>
      <c r="I310" t="s">
        <v>279</v>
      </c>
      <c r="J310" t="s">
        <v>29</v>
      </c>
      <c r="K310" t="s">
        <v>30</v>
      </c>
      <c r="M310" s="1">
        <v>45658</v>
      </c>
      <c r="O310" s="2">
        <v>3.0515046296296297E-2</v>
      </c>
      <c r="P310" t="s">
        <v>31</v>
      </c>
      <c r="Q310" s="2">
        <v>3.0515046296296297E-2</v>
      </c>
      <c r="T310" t="s">
        <v>583</v>
      </c>
      <c r="V310" s="2">
        <v>3.0679398148148147E-2</v>
      </c>
      <c r="W310" t="s">
        <v>32</v>
      </c>
      <c r="X310" t="s">
        <v>368</v>
      </c>
    </row>
    <row r="311" spans="1:24" x14ac:dyDescent="0.3">
      <c r="A311" t="s">
        <v>584</v>
      </c>
      <c r="B311" t="s">
        <v>366</v>
      </c>
      <c r="C311" t="s">
        <v>26</v>
      </c>
      <c r="D311">
        <v>-171594.58</v>
      </c>
      <c r="E311">
        <v>-128580</v>
      </c>
      <c r="F311">
        <v>-171594.58</v>
      </c>
      <c r="H311">
        <v>3302000</v>
      </c>
      <c r="I311" t="s">
        <v>279</v>
      </c>
      <c r="J311" t="s">
        <v>29</v>
      </c>
      <c r="K311" t="s">
        <v>30</v>
      </c>
      <c r="M311" s="1">
        <v>45658</v>
      </c>
      <c r="O311" s="2">
        <v>3.0515046296296297E-2</v>
      </c>
      <c r="P311" t="s">
        <v>31</v>
      </c>
      <c r="Q311" s="2">
        <v>3.0515046296296297E-2</v>
      </c>
      <c r="T311" t="s">
        <v>585</v>
      </c>
      <c r="V311" s="2">
        <v>3.0679398148148147E-2</v>
      </c>
      <c r="W311" t="s">
        <v>32</v>
      </c>
      <c r="X311" t="s">
        <v>368</v>
      </c>
    </row>
    <row r="312" spans="1:24" x14ac:dyDescent="0.3">
      <c r="A312" t="s">
        <v>586</v>
      </c>
      <c r="B312" t="s">
        <v>366</v>
      </c>
      <c r="C312" t="s">
        <v>26</v>
      </c>
      <c r="D312">
        <v>-91696.76</v>
      </c>
      <c r="E312">
        <v>-68437.03</v>
      </c>
      <c r="F312">
        <v>-91696.76</v>
      </c>
      <c r="H312">
        <v>3302000</v>
      </c>
      <c r="I312" t="s">
        <v>279</v>
      </c>
      <c r="J312" t="s">
        <v>29</v>
      </c>
      <c r="K312" t="s">
        <v>30</v>
      </c>
      <c r="M312" s="1">
        <v>45658</v>
      </c>
      <c r="O312" s="2">
        <v>3.0515046296296297E-2</v>
      </c>
      <c r="P312" t="s">
        <v>31</v>
      </c>
      <c r="Q312" s="2">
        <v>3.0515046296296297E-2</v>
      </c>
      <c r="T312" t="s">
        <v>587</v>
      </c>
      <c r="V312" s="2">
        <v>3.0679398148148147E-2</v>
      </c>
      <c r="W312" t="s">
        <v>32</v>
      </c>
      <c r="X312" t="s">
        <v>368</v>
      </c>
    </row>
    <row r="313" spans="1:24" x14ac:dyDescent="0.3">
      <c r="A313" t="s">
        <v>588</v>
      </c>
      <c r="B313" t="s">
        <v>366</v>
      </c>
      <c r="C313" t="s">
        <v>26</v>
      </c>
      <c r="D313">
        <v>-156806.73000000001</v>
      </c>
      <c r="E313">
        <v>-117500.03</v>
      </c>
      <c r="F313">
        <v>-156806.73000000001</v>
      </c>
      <c r="H313">
        <v>3302000</v>
      </c>
      <c r="I313" t="s">
        <v>279</v>
      </c>
      <c r="J313" t="s">
        <v>29</v>
      </c>
      <c r="K313" t="s">
        <v>30</v>
      </c>
      <c r="M313" s="1">
        <v>45658</v>
      </c>
      <c r="O313" s="2">
        <v>3.0515046296296297E-2</v>
      </c>
      <c r="P313" t="s">
        <v>31</v>
      </c>
      <c r="Q313" s="2">
        <v>3.0515046296296297E-2</v>
      </c>
      <c r="T313" t="s">
        <v>589</v>
      </c>
      <c r="V313" s="2">
        <v>3.0679398148148147E-2</v>
      </c>
      <c r="W313" t="s">
        <v>32</v>
      </c>
      <c r="X313" t="s">
        <v>368</v>
      </c>
    </row>
    <row r="314" spans="1:24" x14ac:dyDescent="0.3">
      <c r="A314" t="s">
        <v>590</v>
      </c>
      <c r="B314" t="s">
        <v>366</v>
      </c>
      <c r="C314" t="s">
        <v>26</v>
      </c>
      <c r="D314">
        <v>-164947.29</v>
      </c>
      <c r="E314">
        <v>-123600</v>
      </c>
      <c r="F314">
        <v>-164947.29</v>
      </c>
      <c r="H314">
        <v>3302000</v>
      </c>
      <c r="I314" t="s">
        <v>279</v>
      </c>
      <c r="J314" t="s">
        <v>29</v>
      </c>
      <c r="K314" t="s">
        <v>30</v>
      </c>
      <c r="M314" s="1">
        <v>45658</v>
      </c>
      <c r="O314" s="2">
        <v>3.0515046296296297E-2</v>
      </c>
      <c r="P314" t="s">
        <v>31</v>
      </c>
      <c r="Q314" s="2">
        <v>3.0515046296296297E-2</v>
      </c>
      <c r="T314" t="s">
        <v>591</v>
      </c>
      <c r="V314" s="2">
        <v>3.0679398148148147E-2</v>
      </c>
      <c r="W314" t="s">
        <v>32</v>
      </c>
      <c r="X314" t="s">
        <v>368</v>
      </c>
    </row>
    <row r="315" spans="1:24" x14ac:dyDescent="0.3">
      <c r="A315" t="s">
        <v>592</v>
      </c>
      <c r="B315" t="s">
        <v>25</v>
      </c>
      <c r="C315" t="s">
        <v>26</v>
      </c>
      <c r="D315">
        <v>15.13</v>
      </c>
      <c r="E315">
        <v>6.61</v>
      </c>
      <c r="F315">
        <v>15.13</v>
      </c>
      <c r="G315" t="s">
        <v>27</v>
      </c>
      <c r="H315">
        <v>1243810</v>
      </c>
      <c r="I315" t="s">
        <v>339</v>
      </c>
      <c r="J315" t="s">
        <v>29</v>
      </c>
      <c r="K315" t="s">
        <v>30</v>
      </c>
      <c r="M315" s="1">
        <v>45658</v>
      </c>
      <c r="O315" s="2">
        <v>3.0515046296296297E-2</v>
      </c>
      <c r="P315" t="s">
        <v>31</v>
      </c>
      <c r="Q315" s="2">
        <v>3.0515046296296297E-2</v>
      </c>
      <c r="T315" t="s">
        <v>593</v>
      </c>
      <c r="V315" s="2">
        <v>3.0679398148148147E-2</v>
      </c>
      <c r="W315" t="s">
        <v>32</v>
      </c>
      <c r="X315" t="s">
        <v>30</v>
      </c>
    </row>
    <row r="316" spans="1:24" x14ac:dyDescent="0.3">
      <c r="A316" t="s">
        <v>594</v>
      </c>
      <c r="B316" t="s">
        <v>25</v>
      </c>
      <c r="C316" t="s">
        <v>26</v>
      </c>
      <c r="D316">
        <v>-1586.86</v>
      </c>
      <c r="E316">
        <v>-1184.58</v>
      </c>
      <c r="F316">
        <v>-1586.86</v>
      </c>
      <c r="G316" t="s">
        <v>27</v>
      </c>
      <c r="H316">
        <v>1243810</v>
      </c>
      <c r="I316" t="s">
        <v>339</v>
      </c>
      <c r="J316" t="s">
        <v>29</v>
      </c>
      <c r="K316" t="s">
        <v>30</v>
      </c>
      <c r="M316" s="1">
        <v>45658</v>
      </c>
      <c r="O316" s="2">
        <v>3.0515046296296297E-2</v>
      </c>
      <c r="P316" t="s">
        <v>31</v>
      </c>
      <c r="Q316" s="2">
        <v>3.0515046296296297E-2</v>
      </c>
      <c r="T316" t="s">
        <v>595</v>
      </c>
      <c r="V316" s="2">
        <v>3.0679398148148147E-2</v>
      </c>
      <c r="W316" t="s">
        <v>32</v>
      </c>
      <c r="X316" t="s">
        <v>30</v>
      </c>
    </row>
    <row r="317" spans="1:24" x14ac:dyDescent="0.3">
      <c r="A317" t="s">
        <v>596</v>
      </c>
      <c r="B317" t="s">
        <v>25</v>
      </c>
      <c r="C317" t="s">
        <v>26</v>
      </c>
      <c r="D317">
        <v>-4125.82</v>
      </c>
      <c r="E317">
        <v>-3063.78</v>
      </c>
      <c r="F317">
        <v>-4125.82</v>
      </c>
      <c r="G317" t="s">
        <v>27</v>
      </c>
      <c r="H317">
        <v>1243810</v>
      </c>
      <c r="I317" t="s">
        <v>339</v>
      </c>
      <c r="J317" t="s">
        <v>29</v>
      </c>
      <c r="K317" t="s">
        <v>30</v>
      </c>
      <c r="M317" s="1">
        <v>45658</v>
      </c>
      <c r="O317" s="2">
        <v>3.0515046296296297E-2</v>
      </c>
      <c r="P317" t="s">
        <v>31</v>
      </c>
      <c r="Q317" s="2">
        <v>3.0515046296296297E-2</v>
      </c>
      <c r="T317" t="s">
        <v>377</v>
      </c>
      <c r="V317" s="2">
        <v>3.0679398148148147E-2</v>
      </c>
      <c r="W317" t="s">
        <v>32</v>
      </c>
      <c r="X317" t="s">
        <v>30</v>
      </c>
    </row>
    <row r="318" spans="1:24" x14ac:dyDescent="0.3">
      <c r="A318" t="s">
        <v>597</v>
      </c>
      <c r="B318" t="s">
        <v>25</v>
      </c>
      <c r="C318" t="s">
        <v>26</v>
      </c>
      <c r="D318">
        <v>-1.02</v>
      </c>
      <c r="E318">
        <v>-0.76</v>
      </c>
      <c r="F318">
        <v>-1.02</v>
      </c>
      <c r="G318" t="s">
        <v>27</v>
      </c>
      <c r="H318">
        <v>1243810</v>
      </c>
      <c r="I318" t="s">
        <v>339</v>
      </c>
      <c r="J318" t="s">
        <v>29</v>
      </c>
      <c r="K318" t="s">
        <v>30</v>
      </c>
      <c r="M318" s="1">
        <v>45658</v>
      </c>
      <c r="O318" s="2">
        <v>3.0515046296296297E-2</v>
      </c>
      <c r="P318" t="s">
        <v>31</v>
      </c>
      <c r="Q318" s="2">
        <v>3.0515046296296297E-2</v>
      </c>
      <c r="T318" t="s">
        <v>382</v>
      </c>
      <c r="V318" s="2">
        <v>3.0679398148148147E-2</v>
      </c>
      <c r="W318" t="s">
        <v>32</v>
      </c>
      <c r="X318" t="s">
        <v>30</v>
      </c>
    </row>
    <row r="319" spans="1:24" x14ac:dyDescent="0.3">
      <c r="A319" t="s">
        <v>598</v>
      </c>
      <c r="B319" t="s">
        <v>25</v>
      </c>
      <c r="C319" t="s">
        <v>26</v>
      </c>
      <c r="D319">
        <v>-445.81</v>
      </c>
      <c r="E319">
        <v>-332.79</v>
      </c>
      <c r="F319">
        <v>-445.81</v>
      </c>
      <c r="G319" t="s">
        <v>27</v>
      </c>
      <c r="H319">
        <v>1243810</v>
      </c>
      <c r="I319" t="s">
        <v>339</v>
      </c>
      <c r="J319" t="s">
        <v>29</v>
      </c>
      <c r="K319" t="s">
        <v>30</v>
      </c>
      <c r="M319" s="1">
        <v>45658</v>
      </c>
      <c r="O319" s="2">
        <v>3.0515046296296297E-2</v>
      </c>
      <c r="P319" t="s">
        <v>31</v>
      </c>
      <c r="Q319" s="2">
        <v>3.0515046296296297E-2</v>
      </c>
      <c r="T319" t="s">
        <v>599</v>
      </c>
      <c r="V319" s="2">
        <v>3.0679398148148147E-2</v>
      </c>
      <c r="W319" t="s">
        <v>32</v>
      </c>
      <c r="X319" t="s">
        <v>30</v>
      </c>
    </row>
    <row r="320" spans="1:24" x14ac:dyDescent="0.3">
      <c r="A320" t="s">
        <v>600</v>
      </c>
      <c r="B320" t="s">
        <v>25</v>
      </c>
      <c r="C320" t="s">
        <v>26</v>
      </c>
      <c r="D320">
        <v>-390</v>
      </c>
      <c r="E320">
        <v>-291.13</v>
      </c>
      <c r="F320">
        <v>-390</v>
      </c>
      <c r="G320" t="s">
        <v>27</v>
      </c>
      <c r="H320">
        <v>1243810</v>
      </c>
      <c r="I320" t="s">
        <v>339</v>
      </c>
      <c r="J320" t="s">
        <v>29</v>
      </c>
      <c r="K320" t="s">
        <v>30</v>
      </c>
      <c r="M320" s="1">
        <v>45658</v>
      </c>
      <c r="O320" s="2">
        <v>3.0515046296296297E-2</v>
      </c>
      <c r="P320" t="s">
        <v>31</v>
      </c>
      <c r="Q320" s="2">
        <v>3.0515046296296297E-2</v>
      </c>
      <c r="T320" t="s">
        <v>601</v>
      </c>
      <c r="V320" s="2">
        <v>3.0679398148148147E-2</v>
      </c>
      <c r="W320" t="s">
        <v>32</v>
      </c>
      <c r="X320" t="s">
        <v>30</v>
      </c>
    </row>
    <row r="321" spans="1:24" x14ac:dyDescent="0.3">
      <c r="A321" t="s">
        <v>602</v>
      </c>
      <c r="B321" t="s">
        <v>25</v>
      </c>
      <c r="C321" t="s">
        <v>26</v>
      </c>
      <c r="D321">
        <v>-54</v>
      </c>
      <c r="E321">
        <v>-33</v>
      </c>
      <c r="F321">
        <v>-54</v>
      </c>
      <c r="G321" t="s">
        <v>27</v>
      </c>
      <c r="H321">
        <v>1243810</v>
      </c>
      <c r="I321" t="s">
        <v>339</v>
      </c>
      <c r="J321" t="s">
        <v>29</v>
      </c>
      <c r="K321" t="s">
        <v>30</v>
      </c>
      <c r="M321" s="1">
        <v>45658</v>
      </c>
      <c r="O321" s="2">
        <v>3.0515046296296297E-2</v>
      </c>
      <c r="P321" t="s">
        <v>31</v>
      </c>
      <c r="Q321" s="2">
        <v>3.0515046296296297E-2</v>
      </c>
      <c r="T321" t="s">
        <v>384</v>
      </c>
      <c r="V321" s="2">
        <v>3.0679398148148147E-2</v>
      </c>
      <c r="W321" t="s">
        <v>32</v>
      </c>
      <c r="X321" t="s">
        <v>30</v>
      </c>
    </row>
    <row r="322" spans="1:24" x14ac:dyDescent="0.3">
      <c r="A322" t="s">
        <v>603</v>
      </c>
      <c r="B322" t="s">
        <v>25</v>
      </c>
      <c r="C322" t="s">
        <v>26</v>
      </c>
      <c r="D322">
        <v>354</v>
      </c>
      <c r="E322">
        <v>339.81</v>
      </c>
      <c r="F322">
        <v>354</v>
      </c>
      <c r="G322" t="s">
        <v>27</v>
      </c>
      <c r="H322">
        <v>1243810</v>
      </c>
      <c r="I322" t="s">
        <v>339</v>
      </c>
      <c r="J322" t="s">
        <v>29</v>
      </c>
      <c r="K322" t="s">
        <v>30</v>
      </c>
      <c r="M322" s="1">
        <v>45658</v>
      </c>
      <c r="O322" s="2">
        <v>3.0515046296296297E-2</v>
      </c>
      <c r="P322" t="s">
        <v>31</v>
      </c>
      <c r="Q322" s="2">
        <v>3.0515046296296297E-2</v>
      </c>
      <c r="T322" t="s">
        <v>604</v>
      </c>
      <c r="V322" s="2">
        <v>3.0679398148148147E-2</v>
      </c>
      <c r="W322" t="s">
        <v>32</v>
      </c>
      <c r="X322" t="s">
        <v>30</v>
      </c>
    </row>
    <row r="323" spans="1:24" x14ac:dyDescent="0.3">
      <c r="A323" t="s">
        <v>605</v>
      </c>
      <c r="B323" t="s">
        <v>25</v>
      </c>
      <c r="C323" t="s">
        <v>26</v>
      </c>
      <c r="D323">
        <v>5.46</v>
      </c>
      <c r="E323">
        <v>4.08</v>
      </c>
      <c r="F323">
        <v>5.46</v>
      </c>
      <c r="G323" t="s">
        <v>27</v>
      </c>
      <c r="H323">
        <v>1243810</v>
      </c>
      <c r="I323" t="s">
        <v>339</v>
      </c>
      <c r="J323" t="s">
        <v>29</v>
      </c>
      <c r="K323" t="s">
        <v>30</v>
      </c>
      <c r="M323" s="1">
        <v>45658</v>
      </c>
      <c r="O323" s="2">
        <v>3.0515046296296297E-2</v>
      </c>
      <c r="P323" t="s">
        <v>31</v>
      </c>
      <c r="Q323" s="2">
        <v>3.0515046296296297E-2</v>
      </c>
      <c r="T323" t="s">
        <v>606</v>
      </c>
      <c r="V323" s="2">
        <v>3.0679398148148147E-2</v>
      </c>
      <c r="W323" t="s">
        <v>32</v>
      </c>
      <c r="X323" t="s">
        <v>30</v>
      </c>
    </row>
    <row r="324" spans="1:24" x14ac:dyDescent="0.3">
      <c r="A324" t="s">
        <v>607</v>
      </c>
      <c r="B324" t="s">
        <v>25</v>
      </c>
      <c r="C324" t="s">
        <v>26</v>
      </c>
      <c r="D324">
        <v>-2762.53</v>
      </c>
      <c r="E324">
        <v>-2062.21</v>
      </c>
      <c r="F324">
        <v>-2762.53</v>
      </c>
      <c r="G324" t="s">
        <v>27</v>
      </c>
      <c r="H324">
        <v>1243810</v>
      </c>
      <c r="I324" t="s">
        <v>339</v>
      </c>
      <c r="J324" t="s">
        <v>29</v>
      </c>
      <c r="K324" t="s">
        <v>30</v>
      </c>
      <c r="M324" s="1">
        <v>45658</v>
      </c>
      <c r="O324" s="2">
        <v>3.0515046296296297E-2</v>
      </c>
      <c r="P324" t="s">
        <v>31</v>
      </c>
      <c r="Q324" s="2">
        <v>3.0515046296296297E-2</v>
      </c>
      <c r="T324" t="s">
        <v>608</v>
      </c>
      <c r="V324" s="2">
        <v>3.0679398148148147E-2</v>
      </c>
      <c r="W324" t="s">
        <v>32</v>
      </c>
      <c r="X324" t="s">
        <v>30</v>
      </c>
    </row>
    <row r="325" spans="1:24" x14ac:dyDescent="0.3">
      <c r="A325" t="s">
        <v>609</v>
      </c>
      <c r="B325" t="s">
        <v>25</v>
      </c>
      <c r="C325" t="s">
        <v>26</v>
      </c>
      <c r="D325">
        <v>3.97</v>
      </c>
      <c r="E325">
        <v>2.08</v>
      </c>
      <c r="F325">
        <v>3.97</v>
      </c>
      <c r="G325" t="s">
        <v>27</v>
      </c>
      <c r="H325">
        <v>1243810</v>
      </c>
      <c r="I325" t="s">
        <v>339</v>
      </c>
      <c r="J325" t="s">
        <v>29</v>
      </c>
      <c r="K325" t="s">
        <v>30</v>
      </c>
      <c r="M325" s="1">
        <v>45658</v>
      </c>
      <c r="O325" s="2">
        <v>3.0515046296296297E-2</v>
      </c>
      <c r="P325" t="s">
        <v>31</v>
      </c>
      <c r="Q325" s="2">
        <v>3.0515046296296297E-2</v>
      </c>
      <c r="T325" t="s">
        <v>610</v>
      </c>
      <c r="V325" s="2">
        <v>3.0679398148148147E-2</v>
      </c>
      <c r="W325" t="s">
        <v>32</v>
      </c>
      <c r="X325" t="s">
        <v>30</v>
      </c>
    </row>
    <row r="326" spans="1:24" x14ac:dyDescent="0.3">
      <c r="A326" t="s">
        <v>611</v>
      </c>
      <c r="B326" t="s">
        <v>25</v>
      </c>
      <c r="C326" t="s">
        <v>26</v>
      </c>
      <c r="D326">
        <v>-1760.2</v>
      </c>
      <c r="E326">
        <v>-1313.97</v>
      </c>
      <c r="F326">
        <v>-1760.2</v>
      </c>
      <c r="G326" t="s">
        <v>27</v>
      </c>
      <c r="H326">
        <v>1243810</v>
      </c>
      <c r="I326" t="s">
        <v>339</v>
      </c>
      <c r="J326" t="s">
        <v>29</v>
      </c>
      <c r="K326" t="s">
        <v>30</v>
      </c>
      <c r="M326" s="1">
        <v>45658</v>
      </c>
      <c r="O326" s="2">
        <v>3.0515046296296297E-2</v>
      </c>
      <c r="P326" t="s">
        <v>31</v>
      </c>
      <c r="Q326" s="2">
        <v>3.0515046296296297E-2</v>
      </c>
      <c r="T326" t="s">
        <v>612</v>
      </c>
      <c r="V326" s="2">
        <v>3.0679398148148147E-2</v>
      </c>
      <c r="W326" t="s">
        <v>32</v>
      </c>
      <c r="X326" t="s">
        <v>30</v>
      </c>
    </row>
    <row r="327" spans="1:24" x14ac:dyDescent="0.3">
      <c r="A327" t="s">
        <v>613</v>
      </c>
      <c r="B327" t="s">
        <v>25</v>
      </c>
      <c r="C327" t="s">
        <v>26</v>
      </c>
      <c r="D327">
        <v>316.41000000000003</v>
      </c>
      <c r="E327">
        <v>236.2</v>
      </c>
      <c r="F327">
        <v>316.41000000000003</v>
      </c>
      <c r="G327" t="s">
        <v>27</v>
      </c>
      <c r="H327">
        <v>1243810</v>
      </c>
      <c r="I327" t="s">
        <v>339</v>
      </c>
      <c r="J327" t="s">
        <v>29</v>
      </c>
      <c r="K327" t="s">
        <v>30</v>
      </c>
      <c r="M327" s="1">
        <v>45658</v>
      </c>
      <c r="O327" s="2">
        <v>3.0515046296296297E-2</v>
      </c>
      <c r="P327" t="s">
        <v>31</v>
      </c>
      <c r="Q327" s="2">
        <v>3.0515046296296297E-2</v>
      </c>
      <c r="T327" t="s">
        <v>614</v>
      </c>
      <c r="V327" s="2">
        <v>3.0679398148148147E-2</v>
      </c>
      <c r="W327" t="s">
        <v>32</v>
      </c>
      <c r="X327" t="s">
        <v>30</v>
      </c>
    </row>
    <row r="328" spans="1:24" x14ac:dyDescent="0.3">
      <c r="A328" t="s">
        <v>615</v>
      </c>
      <c r="B328" t="s">
        <v>25</v>
      </c>
      <c r="C328" t="s">
        <v>26</v>
      </c>
      <c r="D328">
        <v>-1</v>
      </c>
      <c r="E328">
        <v>-0.74</v>
      </c>
      <c r="F328">
        <v>-1</v>
      </c>
      <c r="G328" t="s">
        <v>27</v>
      </c>
      <c r="H328">
        <v>1244230</v>
      </c>
      <c r="I328" t="s">
        <v>173</v>
      </c>
      <c r="J328" t="s">
        <v>29</v>
      </c>
      <c r="K328" t="s">
        <v>30</v>
      </c>
      <c r="M328" s="1">
        <v>45658</v>
      </c>
      <c r="O328" s="2">
        <v>3.0515046296296297E-2</v>
      </c>
      <c r="P328" t="s">
        <v>31</v>
      </c>
      <c r="Q328" s="2">
        <v>3.0515046296296297E-2</v>
      </c>
      <c r="V328" s="2">
        <v>3.0679398148148147E-2</v>
      </c>
      <c r="W328" t="s">
        <v>32</v>
      </c>
      <c r="X328" t="s">
        <v>30</v>
      </c>
    </row>
    <row r="329" spans="1:24" x14ac:dyDescent="0.3">
      <c r="A329" t="s">
        <v>616</v>
      </c>
      <c r="B329" t="s">
        <v>25</v>
      </c>
      <c r="C329" t="s">
        <v>26</v>
      </c>
      <c r="D329">
        <v>-78764968.719999999</v>
      </c>
      <c r="E329">
        <v>-59265653.140000001</v>
      </c>
      <c r="F329">
        <v>-78764968.719999999</v>
      </c>
      <c r="G329" t="s">
        <v>27</v>
      </c>
      <c r="H329">
        <v>3203075</v>
      </c>
      <c r="I329" t="s">
        <v>129</v>
      </c>
      <c r="J329" t="s">
        <v>29</v>
      </c>
      <c r="K329" t="s">
        <v>30</v>
      </c>
      <c r="M329" s="1">
        <v>45658</v>
      </c>
      <c r="O329" s="2">
        <v>3.0515046296296297E-2</v>
      </c>
      <c r="P329" t="s">
        <v>31</v>
      </c>
      <c r="Q329" s="2">
        <v>3.0515046296296297E-2</v>
      </c>
      <c r="R329" t="s">
        <v>132</v>
      </c>
      <c r="S329" t="s">
        <v>133</v>
      </c>
      <c r="V329" s="2">
        <v>3.0679398148148147E-2</v>
      </c>
      <c r="W329" t="s">
        <v>32</v>
      </c>
      <c r="X329" t="s">
        <v>30</v>
      </c>
    </row>
    <row r="330" spans="1:24" x14ac:dyDescent="0.3">
      <c r="A330" t="s">
        <v>617</v>
      </c>
      <c r="B330" t="s">
        <v>25</v>
      </c>
      <c r="C330" t="s">
        <v>26</v>
      </c>
      <c r="D330">
        <v>2</v>
      </c>
      <c r="E330">
        <v>-376.19</v>
      </c>
      <c r="F330">
        <v>2</v>
      </c>
      <c r="G330" t="s">
        <v>27</v>
      </c>
      <c r="H330">
        <v>3203075</v>
      </c>
      <c r="I330" t="s">
        <v>129</v>
      </c>
      <c r="J330" t="s">
        <v>29</v>
      </c>
      <c r="K330" t="s">
        <v>30</v>
      </c>
      <c r="M330" s="1">
        <v>45658</v>
      </c>
      <c r="O330" s="2">
        <v>3.0515046296296297E-2</v>
      </c>
      <c r="P330" t="s">
        <v>31</v>
      </c>
      <c r="Q330" s="2">
        <v>3.0515046296296297E-2</v>
      </c>
      <c r="R330" t="s">
        <v>255</v>
      </c>
      <c r="S330" t="s">
        <v>256</v>
      </c>
      <c r="V330" s="2">
        <v>3.0679398148148147E-2</v>
      </c>
      <c r="W330" t="s">
        <v>32</v>
      </c>
      <c r="X330" t="s">
        <v>30</v>
      </c>
    </row>
    <row r="331" spans="1:24" x14ac:dyDescent="0.3">
      <c r="A331" t="s">
        <v>618</v>
      </c>
      <c r="B331" t="s">
        <v>25</v>
      </c>
      <c r="C331" t="s">
        <v>26</v>
      </c>
      <c r="D331">
        <v>-79956.47</v>
      </c>
      <c r="E331">
        <v>-56868.84</v>
      </c>
      <c r="F331">
        <v>-79956.47</v>
      </c>
      <c r="G331" t="s">
        <v>27</v>
      </c>
      <c r="H331">
        <v>3209002</v>
      </c>
      <c r="I331" t="s">
        <v>619</v>
      </c>
      <c r="J331" t="s">
        <v>29</v>
      </c>
      <c r="K331" t="s">
        <v>30</v>
      </c>
      <c r="M331" s="1">
        <v>45658</v>
      </c>
      <c r="O331" s="2">
        <v>3.0515046296296297E-2</v>
      </c>
      <c r="P331" t="s">
        <v>31</v>
      </c>
      <c r="Q331" s="2">
        <v>3.0515046296296297E-2</v>
      </c>
      <c r="V331" s="2">
        <v>3.0679398148148147E-2</v>
      </c>
      <c r="W331" t="s">
        <v>32</v>
      </c>
      <c r="X331" t="s">
        <v>30</v>
      </c>
    </row>
    <row r="332" spans="1:24" x14ac:dyDescent="0.3">
      <c r="A332" t="s">
        <v>620</v>
      </c>
      <c r="B332" t="s">
        <v>25</v>
      </c>
      <c r="C332" t="s">
        <v>26</v>
      </c>
      <c r="D332">
        <v>25263.72</v>
      </c>
      <c r="E332">
        <v>18379.61</v>
      </c>
      <c r="F332">
        <v>25263.72</v>
      </c>
      <c r="G332" t="s">
        <v>27</v>
      </c>
      <c r="H332">
        <v>3209002</v>
      </c>
      <c r="I332" t="s">
        <v>619</v>
      </c>
      <c r="J332" t="s">
        <v>29</v>
      </c>
      <c r="K332" t="s">
        <v>30</v>
      </c>
      <c r="M332" s="1">
        <v>45658</v>
      </c>
      <c r="O332" s="2">
        <v>3.0515046296296297E-2</v>
      </c>
      <c r="P332" t="s">
        <v>31</v>
      </c>
      <c r="Q332" s="2">
        <v>3.0515046296296297E-2</v>
      </c>
      <c r="V332" s="2">
        <v>3.0679398148148147E-2</v>
      </c>
      <c r="W332" t="s">
        <v>32</v>
      </c>
      <c r="X332" t="s">
        <v>30</v>
      </c>
    </row>
    <row r="333" spans="1:24" x14ac:dyDescent="0.3">
      <c r="A333" t="s">
        <v>621</v>
      </c>
      <c r="B333" t="s">
        <v>25</v>
      </c>
      <c r="C333" t="s">
        <v>26</v>
      </c>
      <c r="D333">
        <v>-113244.57</v>
      </c>
      <c r="E333">
        <v>-78806.240000000005</v>
      </c>
      <c r="F333">
        <v>-113244.57</v>
      </c>
      <c r="G333" t="s">
        <v>27</v>
      </c>
      <c r="H333">
        <v>3209500</v>
      </c>
      <c r="I333" t="s">
        <v>622</v>
      </c>
      <c r="J333" t="s">
        <v>29</v>
      </c>
      <c r="K333" t="s">
        <v>30</v>
      </c>
      <c r="M333" s="1">
        <v>45658</v>
      </c>
      <c r="O333" s="2">
        <v>3.0515046296296297E-2</v>
      </c>
      <c r="P333" t="s">
        <v>31</v>
      </c>
      <c r="Q333" s="2">
        <v>3.0515046296296297E-2</v>
      </c>
      <c r="V333" s="2">
        <v>3.0679398148148147E-2</v>
      </c>
      <c r="W333" t="s">
        <v>32</v>
      </c>
      <c r="X333" t="s">
        <v>30</v>
      </c>
    </row>
    <row r="334" spans="1:24" x14ac:dyDescent="0.3">
      <c r="A334" t="s">
        <v>623</v>
      </c>
      <c r="B334" t="s">
        <v>25</v>
      </c>
      <c r="C334" t="s">
        <v>26</v>
      </c>
      <c r="D334">
        <v>-269608.2</v>
      </c>
      <c r="E334">
        <v>-204511.57</v>
      </c>
      <c r="F334">
        <v>-269608.2</v>
      </c>
      <c r="G334" t="s">
        <v>27</v>
      </c>
      <c r="H334">
        <v>3209500</v>
      </c>
      <c r="I334" t="s">
        <v>622</v>
      </c>
      <c r="J334" t="s">
        <v>29</v>
      </c>
      <c r="K334" t="s">
        <v>30</v>
      </c>
      <c r="M334" s="1">
        <v>45658</v>
      </c>
      <c r="O334" s="2">
        <v>3.0515046296296297E-2</v>
      </c>
      <c r="P334" t="s">
        <v>31</v>
      </c>
      <c r="Q334" s="2">
        <v>3.0515046296296297E-2</v>
      </c>
      <c r="V334" s="2">
        <v>3.0679398148148147E-2</v>
      </c>
      <c r="W334" t="s">
        <v>32</v>
      </c>
      <c r="X334" t="s">
        <v>30</v>
      </c>
    </row>
    <row r="335" spans="1:24" x14ac:dyDescent="0.3">
      <c r="A335" t="s">
        <v>624</v>
      </c>
      <c r="B335" t="s">
        <v>25</v>
      </c>
      <c r="C335" t="s">
        <v>26</v>
      </c>
      <c r="D335">
        <v>-14241.01</v>
      </c>
      <c r="E335">
        <v>-10423.969999999999</v>
      </c>
      <c r="F335">
        <v>-14241.01</v>
      </c>
      <c r="G335" t="s">
        <v>27</v>
      </c>
      <c r="H335">
        <v>3209500</v>
      </c>
      <c r="I335" t="s">
        <v>622</v>
      </c>
      <c r="J335" t="s">
        <v>29</v>
      </c>
      <c r="K335" t="s">
        <v>30</v>
      </c>
      <c r="M335" s="1">
        <v>45658</v>
      </c>
      <c r="O335" s="2">
        <v>3.0515046296296297E-2</v>
      </c>
      <c r="P335" t="s">
        <v>31</v>
      </c>
      <c r="Q335" s="2">
        <v>3.0515046296296297E-2</v>
      </c>
      <c r="V335" s="2">
        <v>3.0679398148148147E-2</v>
      </c>
      <c r="W335" t="s">
        <v>32</v>
      </c>
      <c r="X335" t="s">
        <v>30</v>
      </c>
    </row>
    <row r="336" spans="1:24" x14ac:dyDescent="0.3">
      <c r="A336" t="s">
        <v>625</v>
      </c>
      <c r="B336" t="s">
        <v>43</v>
      </c>
      <c r="C336" t="s">
        <v>26</v>
      </c>
      <c r="D336">
        <v>9206</v>
      </c>
      <c r="E336">
        <v>6951.07</v>
      </c>
      <c r="F336">
        <v>9206</v>
      </c>
      <c r="G336" t="s">
        <v>27</v>
      </c>
      <c r="H336">
        <v>1100200</v>
      </c>
      <c r="I336" t="s">
        <v>179</v>
      </c>
      <c r="J336" t="s">
        <v>44</v>
      </c>
      <c r="K336" t="s">
        <v>45</v>
      </c>
      <c r="M336" s="1">
        <v>45658</v>
      </c>
      <c r="O336" s="2">
        <v>3.0515046296296297E-2</v>
      </c>
      <c r="P336" t="s">
        <v>31</v>
      </c>
      <c r="Q336" s="2">
        <v>3.0515046296296297E-2</v>
      </c>
      <c r="V336" s="2">
        <v>4.1190972222222226E-2</v>
      </c>
      <c r="W336" t="s">
        <v>32</v>
      </c>
      <c r="X336" t="s">
        <v>626</v>
      </c>
    </row>
    <row r="337" spans="1:24" x14ac:dyDescent="0.3">
      <c r="A337" t="s">
        <v>627</v>
      </c>
      <c r="B337" t="s">
        <v>43</v>
      </c>
      <c r="C337" t="s">
        <v>26</v>
      </c>
      <c r="D337">
        <v>9945.48</v>
      </c>
      <c r="E337">
        <v>7454.66</v>
      </c>
      <c r="F337">
        <v>9945.48</v>
      </c>
      <c r="G337" t="s">
        <v>27</v>
      </c>
      <c r="H337">
        <v>1110402</v>
      </c>
      <c r="I337" t="s">
        <v>217</v>
      </c>
      <c r="J337" t="s">
        <v>44</v>
      </c>
      <c r="K337" t="s">
        <v>45</v>
      </c>
      <c r="M337" s="1">
        <v>45658</v>
      </c>
      <c r="O337" s="2">
        <v>3.0515046296296297E-2</v>
      </c>
      <c r="P337" t="s">
        <v>31</v>
      </c>
      <c r="Q337" s="2">
        <v>3.0515046296296297E-2</v>
      </c>
      <c r="V337" s="2">
        <v>3.0679398148148147E-2</v>
      </c>
      <c r="W337" t="s">
        <v>32</v>
      </c>
      <c r="X337" t="s">
        <v>628</v>
      </c>
    </row>
    <row r="338" spans="1:24" x14ac:dyDescent="0.3">
      <c r="A338" t="s">
        <v>629</v>
      </c>
      <c r="B338" t="s">
        <v>43</v>
      </c>
      <c r="C338" t="s">
        <v>26</v>
      </c>
      <c r="D338">
        <v>-9945.48</v>
      </c>
      <c r="E338">
        <v>-7454.66</v>
      </c>
      <c r="F338">
        <v>-9945.48</v>
      </c>
      <c r="G338" t="s">
        <v>27</v>
      </c>
      <c r="H338">
        <v>1110400</v>
      </c>
      <c r="I338" t="s">
        <v>217</v>
      </c>
      <c r="J338" t="s">
        <v>44</v>
      </c>
      <c r="K338" t="s">
        <v>45</v>
      </c>
      <c r="M338" s="1">
        <v>45658</v>
      </c>
      <c r="O338" s="2">
        <v>3.0515046296296297E-2</v>
      </c>
      <c r="P338" t="s">
        <v>31</v>
      </c>
      <c r="Q338" s="2">
        <v>3.0515046296296297E-2</v>
      </c>
      <c r="V338" s="2">
        <v>3.0679398148148147E-2</v>
      </c>
      <c r="W338" t="s">
        <v>32</v>
      </c>
      <c r="X338" t="s">
        <v>630</v>
      </c>
    </row>
    <row r="339" spans="1:24" x14ac:dyDescent="0.3">
      <c r="A339" t="s">
        <v>631</v>
      </c>
      <c r="B339" t="s">
        <v>366</v>
      </c>
      <c r="C339" t="s">
        <v>26</v>
      </c>
      <c r="D339">
        <v>-136121.54999999999</v>
      </c>
      <c r="E339">
        <v>-102000</v>
      </c>
      <c r="F339">
        <v>-136121.54999999999</v>
      </c>
      <c r="H339">
        <v>3302000</v>
      </c>
      <c r="I339" t="s">
        <v>279</v>
      </c>
      <c r="J339" t="s">
        <v>29</v>
      </c>
      <c r="K339" t="s">
        <v>30</v>
      </c>
      <c r="M339" s="1">
        <v>45658</v>
      </c>
      <c r="O339" s="2">
        <v>3.0515046296296297E-2</v>
      </c>
      <c r="P339" t="s">
        <v>31</v>
      </c>
      <c r="Q339" s="2">
        <v>3.0515046296296297E-2</v>
      </c>
      <c r="T339">
        <v>6224</v>
      </c>
      <c r="V339" s="2">
        <v>3.0679398148148147E-2</v>
      </c>
      <c r="W339" t="s">
        <v>32</v>
      </c>
      <c r="X339" t="s">
        <v>368</v>
      </c>
    </row>
    <row r="340" spans="1:24" x14ac:dyDescent="0.3">
      <c r="A340" t="s">
        <v>632</v>
      </c>
      <c r="B340" t="s">
        <v>366</v>
      </c>
      <c r="C340" t="s">
        <v>26</v>
      </c>
      <c r="D340">
        <v>-134119.76</v>
      </c>
      <c r="E340">
        <v>-100500</v>
      </c>
      <c r="F340">
        <v>-134119.76</v>
      </c>
      <c r="H340">
        <v>3302000</v>
      </c>
      <c r="I340" t="s">
        <v>279</v>
      </c>
      <c r="J340" t="s">
        <v>29</v>
      </c>
      <c r="K340" t="s">
        <v>30</v>
      </c>
      <c r="M340" s="1">
        <v>45658</v>
      </c>
      <c r="O340" s="2">
        <v>3.0515046296296297E-2</v>
      </c>
      <c r="P340" t="s">
        <v>31</v>
      </c>
      <c r="Q340" s="2">
        <v>3.0515046296296297E-2</v>
      </c>
      <c r="T340" t="s">
        <v>633</v>
      </c>
      <c r="V340" s="2">
        <v>3.0679398148148147E-2</v>
      </c>
      <c r="W340" t="s">
        <v>32</v>
      </c>
      <c r="X340" t="s">
        <v>368</v>
      </c>
    </row>
    <row r="341" spans="1:24" x14ac:dyDescent="0.3">
      <c r="A341" t="s">
        <v>634</v>
      </c>
      <c r="B341" t="s">
        <v>366</v>
      </c>
      <c r="C341" t="s">
        <v>26</v>
      </c>
      <c r="D341">
        <v>-50505.37</v>
      </c>
      <c r="E341">
        <v>-38376</v>
      </c>
      <c r="F341">
        <v>-50505.37</v>
      </c>
      <c r="H341">
        <v>3302000</v>
      </c>
      <c r="I341" t="s">
        <v>279</v>
      </c>
      <c r="J341" t="s">
        <v>29</v>
      </c>
      <c r="K341" t="s">
        <v>30</v>
      </c>
      <c r="M341" s="1">
        <v>45658</v>
      </c>
      <c r="O341" s="2">
        <v>3.0515046296296297E-2</v>
      </c>
      <c r="P341" t="s">
        <v>31</v>
      </c>
      <c r="Q341" s="2">
        <v>3.0515046296296297E-2</v>
      </c>
      <c r="T341" t="s">
        <v>635</v>
      </c>
      <c r="V341" s="2">
        <v>3.0679398148148147E-2</v>
      </c>
      <c r="W341" t="s">
        <v>32</v>
      </c>
      <c r="X341" t="s">
        <v>368</v>
      </c>
    </row>
    <row r="342" spans="1:24" x14ac:dyDescent="0.3">
      <c r="A342" t="s">
        <v>636</v>
      </c>
      <c r="B342" t="s">
        <v>366</v>
      </c>
      <c r="C342" t="s">
        <v>26</v>
      </c>
      <c r="D342">
        <v>-50505.37</v>
      </c>
      <c r="E342">
        <v>-38376</v>
      </c>
      <c r="F342">
        <v>-50505.37</v>
      </c>
      <c r="H342">
        <v>3302000</v>
      </c>
      <c r="I342" t="s">
        <v>279</v>
      </c>
      <c r="J342" t="s">
        <v>29</v>
      </c>
      <c r="K342" t="s">
        <v>30</v>
      </c>
      <c r="M342" s="1">
        <v>45658</v>
      </c>
      <c r="O342" s="2">
        <v>3.0515046296296297E-2</v>
      </c>
      <c r="P342" t="s">
        <v>31</v>
      </c>
      <c r="Q342" s="2">
        <v>3.0515046296296297E-2</v>
      </c>
      <c r="T342" t="s">
        <v>637</v>
      </c>
      <c r="V342" s="2">
        <v>3.0679398148148147E-2</v>
      </c>
      <c r="W342" t="s">
        <v>32</v>
      </c>
      <c r="X342" t="s">
        <v>368</v>
      </c>
    </row>
    <row r="343" spans="1:24" x14ac:dyDescent="0.3">
      <c r="A343" t="s">
        <v>638</v>
      </c>
      <c r="B343" t="s">
        <v>366</v>
      </c>
      <c r="C343" t="s">
        <v>26</v>
      </c>
      <c r="D343">
        <v>-79505.56</v>
      </c>
      <c r="E343">
        <v>-59159.7</v>
      </c>
      <c r="F343">
        <v>-79505.56</v>
      </c>
      <c r="H343">
        <v>3302000</v>
      </c>
      <c r="I343" t="s">
        <v>279</v>
      </c>
      <c r="J343" t="s">
        <v>29</v>
      </c>
      <c r="K343" t="s">
        <v>30</v>
      </c>
      <c r="M343" s="1">
        <v>45658</v>
      </c>
      <c r="O343" s="2">
        <v>3.0515046296296297E-2</v>
      </c>
      <c r="P343" t="s">
        <v>31</v>
      </c>
      <c r="Q343" s="2">
        <v>3.0515046296296297E-2</v>
      </c>
      <c r="T343" t="s">
        <v>639</v>
      </c>
      <c r="V343" s="2">
        <v>3.0679398148148147E-2</v>
      </c>
      <c r="W343" t="s">
        <v>32</v>
      </c>
      <c r="X343" t="s">
        <v>368</v>
      </c>
    </row>
    <row r="344" spans="1:24" x14ac:dyDescent="0.3">
      <c r="A344" t="s">
        <v>640</v>
      </c>
      <c r="B344" t="s">
        <v>366</v>
      </c>
      <c r="C344" t="s">
        <v>26</v>
      </c>
      <c r="D344">
        <v>-198691.33</v>
      </c>
      <c r="E344">
        <v>-148772.53</v>
      </c>
      <c r="F344">
        <v>-198691.33</v>
      </c>
      <c r="H344">
        <v>3302000</v>
      </c>
      <c r="I344" t="s">
        <v>279</v>
      </c>
      <c r="J344" t="s">
        <v>29</v>
      </c>
      <c r="K344" t="s">
        <v>30</v>
      </c>
      <c r="M344" s="1">
        <v>45658</v>
      </c>
      <c r="O344" s="2">
        <v>3.0515046296296297E-2</v>
      </c>
      <c r="P344" t="s">
        <v>31</v>
      </c>
      <c r="Q344" s="2">
        <v>3.0515046296296297E-2</v>
      </c>
      <c r="T344" t="s">
        <v>641</v>
      </c>
      <c r="V344" s="2">
        <v>3.0679398148148147E-2</v>
      </c>
      <c r="W344" t="s">
        <v>32</v>
      </c>
      <c r="X344" t="s">
        <v>368</v>
      </c>
    </row>
    <row r="345" spans="1:24" x14ac:dyDescent="0.3">
      <c r="A345" t="s">
        <v>642</v>
      </c>
      <c r="B345" t="s">
        <v>366</v>
      </c>
      <c r="C345" t="s">
        <v>26</v>
      </c>
      <c r="D345">
        <v>-171594.58</v>
      </c>
      <c r="E345">
        <v>-128580</v>
      </c>
      <c r="F345">
        <v>-171594.58</v>
      </c>
      <c r="H345">
        <v>3302000</v>
      </c>
      <c r="I345" t="s">
        <v>279</v>
      </c>
      <c r="J345" t="s">
        <v>29</v>
      </c>
      <c r="K345" t="s">
        <v>30</v>
      </c>
      <c r="M345" s="1">
        <v>45658</v>
      </c>
      <c r="O345" s="2">
        <v>3.0515046296296297E-2</v>
      </c>
      <c r="P345" t="s">
        <v>31</v>
      </c>
      <c r="Q345" s="2">
        <v>3.0515046296296297E-2</v>
      </c>
      <c r="T345" t="s">
        <v>643</v>
      </c>
      <c r="V345" s="2">
        <v>3.0679398148148147E-2</v>
      </c>
      <c r="W345" t="s">
        <v>32</v>
      </c>
      <c r="X345" t="s">
        <v>368</v>
      </c>
    </row>
    <row r="346" spans="1:24" x14ac:dyDescent="0.3">
      <c r="A346" t="s">
        <v>644</v>
      </c>
      <c r="B346" t="s">
        <v>366</v>
      </c>
      <c r="C346" t="s">
        <v>26</v>
      </c>
      <c r="D346">
        <v>-120153.75</v>
      </c>
      <c r="E346">
        <v>-90000</v>
      </c>
      <c r="F346">
        <v>-120153.75</v>
      </c>
      <c r="H346">
        <v>3302000</v>
      </c>
      <c r="I346" t="s">
        <v>279</v>
      </c>
      <c r="J346" t="s">
        <v>29</v>
      </c>
      <c r="K346" t="s">
        <v>30</v>
      </c>
      <c r="M346" s="1">
        <v>45658</v>
      </c>
      <c r="O346" s="2">
        <v>3.0515046296296297E-2</v>
      </c>
      <c r="P346" t="s">
        <v>31</v>
      </c>
      <c r="Q346" s="2">
        <v>3.0515046296296297E-2</v>
      </c>
      <c r="T346" t="s">
        <v>645</v>
      </c>
      <c r="V346" s="2">
        <v>3.0679398148148147E-2</v>
      </c>
      <c r="W346" t="s">
        <v>32</v>
      </c>
      <c r="X346" t="s">
        <v>368</v>
      </c>
    </row>
    <row r="347" spans="1:24" x14ac:dyDescent="0.3">
      <c r="A347" t="s">
        <v>646</v>
      </c>
      <c r="B347" t="s">
        <v>366</v>
      </c>
      <c r="C347" t="s">
        <v>26</v>
      </c>
      <c r="D347">
        <v>0</v>
      </c>
      <c r="E347">
        <v>0</v>
      </c>
      <c r="F347">
        <v>0</v>
      </c>
      <c r="H347">
        <v>3302000</v>
      </c>
      <c r="I347" t="s">
        <v>279</v>
      </c>
      <c r="J347" t="s">
        <v>29</v>
      </c>
      <c r="K347" t="s">
        <v>30</v>
      </c>
      <c r="M347" s="1">
        <v>45658</v>
      </c>
      <c r="O347" s="2">
        <v>3.0515046296296297E-2</v>
      </c>
      <c r="P347" t="s">
        <v>31</v>
      </c>
      <c r="Q347" s="2">
        <v>3.0515046296296297E-2</v>
      </c>
      <c r="T347" t="s">
        <v>647</v>
      </c>
      <c r="V347" s="2">
        <v>3.0679398148148147E-2</v>
      </c>
      <c r="W347" t="s">
        <v>32</v>
      </c>
      <c r="X347" t="s">
        <v>368</v>
      </c>
    </row>
    <row r="348" spans="1:24" x14ac:dyDescent="0.3">
      <c r="A348" t="s">
        <v>648</v>
      </c>
      <c r="B348" t="s">
        <v>366</v>
      </c>
      <c r="C348" t="s">
        <v>26</v>
      </c>
      <c r="D348">
        <v>-237634.92</v>
      </c>
      <c r="E348">
        <v>-177999.96</v>
      </c>
      <c r="F348">
        <v>-237634.92</v>
      </c>
      <c r="H348">
        <v>3302000</v>
      </c>
      <c r="I348" t="s">
        <v>279</v>
      </c>
      <c r="J348" t="s">
        <v>29</v>
      </c>
      <c r="K348" t="s">
        <v>30</v>
      </c>
      <c r="M348" s="1">
        <v>45658</v>
      </c>
      <c r="O348" s="2">
        <v>3.0515046296296297E-2</v>
      </c>
      <c r="P348" t="s">
        <v>31</v>
      </c>
      <c r="Q348" s="2">
        <v>3.0515046296296297E-2</v>
      </c>
      <c r="T348" t="s">
        <v>649</v>
      </c>
      <c r="V348" s="2">
        <v>3.0679398148148147E-2</v>
      </c>
      <c r="W348" t="s">
        <v>32</v>
      </c>
      <c r="X348" t="s">
        <v>368</v>
      </c>
    </row>
    <row r="349" spans="1:24" x14ac:dyDescent="0.3">
      <c r="A349" t="s">
        <v>650</v>
      </c>
      <c r="B349" t="s">
        <v>366</v>
      </c>
      <c r="C349" t="s">
        <v>26</v>
      </c>
      <c r="D349">
        <v>-81157.08</v>
      </c>
      <c r="E349">
        <v>-60368</v>
      </c>
      <c r="F349">
        <v>-81157.08</v>
      </c>
      <c r="H349">
        <v>3302000</v>
      </c>
      <c r="I349" t="s">
        <v>279</v>
      </c>
      <c r="J349" t="s">
        <v>29</v>
      </c>
      <c r="K349" t="s">
        <v>30</v>
      </c>
      <c r="M349" s="1">
        <v>45658</v>
      </c>
      <c r="O349" s="2">
        <v>3.0515046296296297E-2</v>
      </c>
      <c r="P349" t="s">
        <v>31</v>
      </c>
      <c r="Q349" s="2">
        <v>3.0515046296296297E-2</v>
      </c>
      <c r="T349" t="s">
        <v>651</v>
      </c>
      <c r="V349" s="2">
        <v>3.0679398148148147E-2</v>
      </c>
      <c r="W349" t="s">
        <v>32</v>
      </c>
      <c r="X349" t="s">
        <v>368</v>
      </c>
    </row>
    <row r="350" spans="1:24" x14ac:dyDescent="0.3">
      <c r="A350" t="s">
        <v>652</v>
      </c>
      <c r="B350" t="s">
        <v>366</v>
      </c>
      <c r="C350" t="s">
        <v>26</v>
      </c>
      <c r="D350">
        <v>-13471.15</v>
      </c>
      <c r="E350">
        <v>-10219.35</v>
      </c>
      <c r="F350">
        <v>-13471.15</v>
      </c>
      <c r="H350">
        <v>3302000</v>
      </c>
      <c r="I350" t="s">
        <v>279</v>
      </c>
      <c r="J350" t="s">
        <v>29</v>
      </c>
      <c r="K350" t="s">
        <v>30</v>
      </c>
      <c r="M350" s="1">
        <v>45658</v>
      </c>
      <c r="O350" s="2">
        <v>3.0515046296296297E-2</v>
      </c>
      <c r="P350" t="s">
        <v>31</v>
      </c>
      <c r="Q350" s="2">
        <v>3.0515046296296297E-2</v>
      </c>
      <c r="T350" t="s">
        <v>653</v>
      </c>
      <c r="V350" s="2">
        <v>3.0679398148148147E-2</v>
      </c>
      <c r="W350" t="s">
        <v>32</v>
      </c>
      <c r="X350" t="s">
        <v>368</v>
      </c>
    </row>
    <row r="351" spans="1:24" x14ac:dyDescent="0.3">
      <c r="A351" t="s">
        <v>654</v>
      </c>
      <c r="B351" t="s">
        <v>366</v>
      </c>
      <c r="C351" t="s">
        <v>26</v>
      </c>
      <c r="D351">
        <v>-240955.53</v>
      </c>
      <c r="E351">
        <v>-180549.96</v>
      </c>
      <c r="F351">
        <v>-240955.53</v>
      </c>
      <c r="H351">
        <v>3302000</v>
      </c>
      <c r="I351" t="s">
        <v>279</v>
      </c>
      <c r="J351" t="s">
        <v>29</v>
      </c>
      <c r="K351" t="s">
        <v>30</v>
      </c>
      <c r="M351" s="1">
        <v>45658</v>
      </c>
      <c r="O351" s="2">
        <v>3.0515046296296297E-2</v>
      </c>
      <c r="P351" t="s">
        <v>31</v>
      </c>
      <c r="Q351" s="2">
        <v>3.0515046296296297E-2</v>
      </c>
      <c r="T351" t="s">
        <v>655</v>
      </c>
      <c r="V351" s="2">
        <v>3.0679398148148147E-2</v>
      </c>
      <c r="W351" t="s">
        <v>32</v>
      </c>
      <c r="X351" t="s">
        <v>368</v>
      </c>
    </row>
    <row r="352" spans="1:24" x14ac:dyDescent="0.3">
      <c r="A352" t="s">
        <v>656</v>
      </c>
      <c r="B352" t="s">
        <v>366</v>
      </c>
      <c r="C352" t="s">
        <v>26</v>
      </c>
      <c r="D352">
        <v>-141459.04999999999</v>
      </c>
      <c r="E352">
        <v>-105121.08</v>
      </c>
      <c r="F352">
        <v>-141459.04999999999</v>
      </c>
      <c r="H352">
        <v>3302000</v>
      </c>
      <c r="I352" t="s">
        <v>279</v>
      </c>
      <c r="J352" t="s">
        <v>29</v>
      </c>
      <c r="K352" t="s">
        <v>30</v>
      </c>
      <c r="M352" s="1">
        <v>45658</v>
      </c>
      <c r="O352" s="2">
        <v>3.0515046296296297E-2</v>
      </c>
      <c r="P352" t="s">
        <v>31</v>
      </c>
      <c r="Q352" s="2">
        <v>3.0515046296296297E-2</v>
      </c>
      <c r="T352" t="s">
        <v>657</v>
      </c>
      <c r="V352" s="2">
        <v>3.0679398148148147E-2</v>
      </c>
      <c r="W352" t="s">
        <v>32</v>
      </c>
      <c r="X352" t="s">
        <v>368</v>
      </c>
    </row>
    <row r="353" spans="1:24" x14ac:dyDescent="0.3">
      <c r="A353" t="s">
        <v>658</v>
      </c>
      <c r="B353" t="s">
        <v>366</v>
      </c>
      <c r="C353" t="s">
        <v>26</v>
      </c>
      <c r="D353">
        <v>-122809.63</v>
      </c>
      <c r="E353">
        <v>-91412.81</v>
      </c>
      <c r="F353">
        <v>-122809.63</v>
      </c>
      <c r="H353">
        <v>3302000</v>
      </c>
      <c r="I353" t="s">
        <v>279</v>
      </c>
      <c r="J353" t="s">
        <v>29</v>
      </c>
      <c r="K353" t="s">
        <v>30</v>
      </c>
      <c r="M353" s="1">
        <v>45658</v>
      </c>
      <c r="O353" s="2">
        <v>3.0515046296296297E-2</v>
      </c>
      <c r="P353" t="s">
        <v>31</v>
      </c>
      <c r="Q353" s="2">
        <v>3.0515046296296297E-2</v>
      </c>
      <c r="T353" t="s">
        <v>659</v>
      </c>
      <c r="V353" s="2">
        <v>3.0679398148148147E-2</v>
      </c>
      <c r="W353" t="s">
        <v>32</v>
      </c>
      <c r="X353" t="s">
        <v>368</v>
      </c>
    </row>
    <row r="354" spans="1:24" x14ac:dyDescent="0.3">
      <c r="A354" t="s">
        <v>660</v>
      </c>
      <c r="B354" t="s">
        <v>366</v>
      </c>
      <c r="C354" t="s">
        <v>26</v>
      </c>
      <c r="D354">
        <v>-146189.1</v>
      </c>
      <c r="E354">
        <v>-109500</v>
      </c>
      <c r="F354">
        <v>-146189.1</v>
      </c>
      <c r="H354">
        <v>3302000</v>
      </c>
      <c r="I354" t="s">
        <v>279</v>
      </c>
      <c r="J354" t="s">
        <v>29</v>
      </c>
      <c r="K354" t="s">
        <v>30</v>
      </c>
      <c r="M354" s="1">
        <v>45658</v>
      </c>
      <c r="O354" s="2">
        <v>3.0515046296296297E-2</v>
      </c>
      <c r="P354" t="s">
        <v>31</v>
      </c>
      <c r="Q354" s="2">
        <v>3.0515046296296297E-2</v>
      </c>
      <c r="T354" t="s">
        <v>661</v>
      </c>
      <c r="V354" s="2">
        <v>3.0679398148148147E-2</v>
      </c>
      <c r="W354" t="s">
        <v>32</v>
      </c>
      <c r="X354" t="s">
        <v>368</v>
      </c>
    </row>
    <row r="355" spans="1:24" x14ac:dyDescent="0.3">
      <c r="A355" t="s">
        <v>662</v>
      </c>
      <c r="B355" t="s">
        <v>366</v>
      </c>
      <c r="C355" t="s">
        <v>26</v>
      </c>
      <c r="D355">
        <v>-149642.07</v>
      </c>
      <c r="E355">
        <v>-112231.92</v>
      </c>
      <c r="F355">
        <v>-149642.07</v>
      </c>
      <c r="H355">
        <v>3302000</v>
      </c>
      <c r="I355" t="s">
        <v>279</v>
      </c>
      <c r="J355" t="s">
        <v>29</v>
      </c>
      <c r="K355" t="s">
        <v>30</v>
      </c>
      <c r="M355" s="1">
        <v>45658</v>
      </c>
      <c r="O355" s="2">
        <v>3.0515046296296297E-2</v>
      </c>
      <c r="P355" t="s">
        <v>31</v>
      </c>
      <c r="Q355" s="2">
        <v>3.0515046296296297E-2</v>
      </c>
      <c r="T355" t="s">
        <v>663</v>
      </c>
      <c r="V355" s="2">
        <v>3.0679398148148147E-2</v>
      </c>
      <c r="W355" t="s">
        <v>32</v>
      </c>
      <c r="X355" t="s">
        <v>368</v>
      </c>
    </row>
    <row r="356" spans="1:24" x14ac:dyDescent="0.3">
      <c r="A356" t="s">
        <v>664</v>
      </c>
      <c r="B356" t="s">
        <v>25</v>
      </c>
      <c r="C356" t="s">
        <v>26</v>
      </c>
      <c r="D356">
        <v>-11.52</v>
      </c>
      <c r="E356">
        <v>-8.6</v>
      </c>
      <c r="F356">
        <v>-11.52</v>
      </c>
      <c r="G356" t="s">
        <v>27</v>
      </c>
      <c r="H356">
        <v>1243810</v>
      </c>
      <c r="I356" t="s">
        <v>339</v>
      </c>
      <c r="J356" t="s">
        <v>29</v>
      </c>
      <c r="K356" t="s">
        <v>30</v>
      </c>
      <c r="M356" s="1">
        <v>45658</v>
      </c>
      <c r="O356" s="2">
        <v>3.0515046296296297E-2</v>
      </c>
      <c r="P356" t="s">
        <v>31</v>
      </c>
      <c r="Q356" s="2">
        <v>3.0515046296296297E-2</v>
      </c>
      <c r="T356" t="s">
        <v>665</v>
      </c>
      <c r="V356" s="2">
        <v>3.0679398148148147E-2</v>
      </c>
      <c r="W356" t="s">
        <v>32</v>
      </c>
      <c r="X356" t="s">
        <v>30</v>
      </c>
    </row>
    <row r="357" spans="1:24" x14ac:dyDescent="0.3">
      <c r="A357" t="s">
        <v>666</v>
      </c>
      <c r="B357" t="s">
        <v>25</v>
      </c>
      <c r="C357" t="s">
        <v>26</v>
      </c>
      <c r="D357">
        <v>-244475.98</v>
      </c>
      <c r="E357">
        <v>-180000</v>
      </c>
      <c r="F357">
        <v>-244475.98</v>
      </c>
      <c r="G357" t="s">
        <v>38</v>
      </c>
      <c r="H357">
        <v>3123701</v>
      </c>
      <c r="I357" t="s">
        <v>293</v>
      </c>
      <c r="J357" t="s">
        <v>29</v>
      </c>
      <c r="K357" t="s">
        <v>30</v>
      </c>
      <c r="M357" s="1">
        <v>45658</v>
      </c>
      <c r="O357" s="2">
        <v>3.0515046296296297E-2</v>
      </c>
      <c r="P357" t="s">
        <v>31</v>
      </c>
      <c r="Q357" s="2">
        <v>3.0515046296296297E-2</v>
      </c>
      <c r="T357" t="s">
        <v>667</v>
      </c>
      <c r="V357" s="2">
        <v>3.0679398148148147E-2</v>
      </c>
      <c r="W357" t="s">
        <v>32</v>
      </c>
      <c r="X357" t="s">
        <v>30</v>
      </c>
    </row>
    <row r="358" spans="1:24" x14ac:dyDescent="0.3">
      <c r="A358" t="s">
        <v>668</v>
      </c>
      <c r="B358" t="s">
        <v>25</v>
      </c>
      <c r="C358" t="s">
        <v>26</v>
      </c>
      <c r="D358">
        <v>-13582</v>
      </c>
      <c r="E358">
        <v>-10000</v>
      </c>
      <c r="F358">
        <v>-13582</v>
      </c>
      <c r="G358" t="s">
        <v>38</v>
      </c>
      <c r="H358">
        <v>3123701</v>
      </c>
      <c r="I358" t="s">
        <v>293</v>
      </c>
      <c r="J358" t="s">
        <v>29</v>
      </c>
      <c r="K358" t="s">
        <v>30</v>
      </c>
      <c r="M358" s="1">
        <v>45658</v>
      </c>
      <c r="O358" s="2">
        <v>3.0515046296296297E-2</v>
      </c>
      <c r="P358" t="s">
        <v>31</v>
      </c>
      <c r="Q358" s="2">
        <v>3.0515046296296297E-2</v>
      </c>
      <c r="T358" t="s">
        <v>669</v>
      </c>
      <c r="V358" s="2">
        <v>3.0679398148148147E-2</v>
      </c>
      <c r="W358" t="s">
        <v>32</v>
      </c>
      <c r="X358" t="s">
        <v>30</v>
      </c>
    </row>
    <row r="359" spans="1:24" x14ac:dyDescent="0.3">
      <c r="A359" t="s">
        <v>670</v>
      </c>
      <c r="B359" t="s">
        <v>366</v>
      </c>
      <c r="C359" t="s">
        <v>26</v>
      </c>
      <c r="D359">
        <v>-237634.92</v>
      </c>
      <c r="E359">
        <v>-177999.96</v>
      </c>
      <c r="F359">
        <v>-237634.92</v>
      </c>
      <c r="H359">
        <v>3302000</v>
      </c>
      <c r="I359" t="s">
        <v>279</v>
      </c>
      <c r="J359" t="s">
        <v>29</v>
      </c>
      <c r="K359" t="s">
        <v>30</v>
      </c>
      <c r="M359" s="1">
        <v>45658</v>
      </c>
      <c r="O359" s="2">
        <v>3.0515046296296297E-2</v>
      </c>
      <c r="P359" t="s">
        <v>31</v>
      </c>
      <c r="Q359" s="2">
        <v>3.0515046296296297E-2</v>
      </c>
      <c r="T359" t="s">
        <v>474</v>
      </c>
      <c r="V359" s="2">
        <v>3.0679398148148147E-2</v>
      </c>
      <c r="W359" t="s">
        <v>32</v>
      </c>
      <c r="X359" t="s">
        <v>368</v>
      </c>
    </row>
    <row r="360" spans="1:24" x14ac:dyDescent="0.3">
      <c r="A360" t="s">
        <v>671</v>
      </c>
      <c r="B360" t="s">
        <v>366</v>
      </c>
      <c r="C360" t="s">
        <v>26</v>
      </c>
      <c r="D360">
        <v>-1804.83</v>
      </c>
      <c r="E360">
        <v>-1344.08</v>
      </c>
      <c r="F360">
        <v>-1804.83</v>
      </c>
      <c r="H360">
        <v>3302000</v>
      </c>
      <c r="I360" t="s">
        <v>279</v>
      </c>
      <c r="J360" t="s">
        <v>29</v>
      </c>
      <c r="K360" t="s">
        <v>30</v>
      </c>
      <c r="M360" s="1">
        <v>45658</v>
      </c>
      <c r="O360" s="2">
        <v>3.0515046296296297E-2</v>
      </c>
      <c r="P360" t="s">
        <v>31</v>
      </c>
      <c r="Q360" s="2">
        <v>3.0515046296296297E-2</v>
      </c>
      <c r="T360" t="s">
        <v>672</v>
      </c>
      <c r="V360" s="2">
        <v>3.0679398148148147E-2</v>
      </c>
      <c r="W360" t="s">
        <v>32</v>
      </c>
      <c r="X360" t="s">
        <v>368</v>
      </c>
    </row>
    <row r="361" spans="1:24" x14ac:dyDescent="0.3">
      <c r="A361" t="s">
        <v>673</v>
      </c>
      <c r="B361" t="s">
        <v>366</v>
      </c>
      <c r="C361" t="s">
        <v>26</v>
      </c>
      <c r="D361">
        <v>-290166.08</v>
      </c>
      <c r="E361">
        <v>-217196</v>
      </c>
      <c r="F361">
        <v>-290166.08</v>
      </c>
      <c r="H361">
        <v>3302000</v>
      </c>
      <c r="I361" t="s">
        <v>279</v>
      </c>
      <c r="J361" t="s">
        <v>29</v>
      </c>
      <c r="K361" t="s">
        <v>30</v>
      </c>
      <c r="M361" s="1">
        <v>45658</v>
      </c>
      <c r="O361" s="2">
        <v>3.0515046296296297E-2</v>
      </c>
      <c r="P361" t="s">
        <v>31</v>
      </c>
      <c r="Q361" s="2">
        <v>3.0515046296296297E-2</v>
      </c>
      <c r="T361" t="s">
        <v>667</v>
      </c>
      <c r="V361" s="2">
        <v>3.0679398148148147E-2</v>
      </c>
      <c r="W361" t="s">
        <v>32</v>
      </c>
      <c r="X361" t="s">
        <v>368</v>
      </c>
    </row>
    <row r="362" spans="1:24" x14ac:dyDescent="0.3">
      <c r="A362" t="s">
        <v>674</v>
      </c>
      <c r="B362" t="s">
        <v>366</v>
      </c>
      <c r="C362" t="s">
        <v>26</v>
      </c>
      <c r="D362">
        <v>-142754.21</v>
      </c>
      <c r="E362">
        <v>-106175</v>
      </c>
      <c r="F362">
        <v>-142754.21</v>
      </c>
      <c r="H362">
        <v>3302000</v>
      </c>
      <c r="I362" t="s">
        <v>279</v>
      </c>
      <c r="J362" t="s">
        <v>29</v>
      </c>
      <c r="K362" t="s">
        <v>30</v>
      </c>
      <c r="M362" s="1">
        <v>45658</v>
      </c>
      <c r="O362" s="2">
        <v>3.0515046296296297E-2</v>
      </c>
      <c r="P362" t="s">
        <v>31</v>
      </c>
      <c r="Q362" s="2">
        <v>3.0515046296296297E-2</v>
      </c>
      <c r="T362" t="s">
        <v>480</v>
      </c>
      <c r="V362" s="2">
        <v>3.0679398148148147E-2</v>
      </c>
      <c r="W362" t="s">
        <v>32</v>
      </c>
      <c r="X362" t="s">
        <v>368</v>
      </c>
    </row>
    <row r="363" spans="1:24" x14ac:dyDescent="0.3">
      <c r="A363" t="s">
        <v>675</v>
      </c>
      <c r="B363" t="s">
        <v>366</v>
      </c>
      <c r="C363" t="s">
        <v>26</v>
      </c>
      <c r="D363">
        <v>-73154.83</v>
      </c>
      <c r="E363">
        <v>-54642.51</v>
      </c>
      <c r="F363">
        <v>-73154.83</v>
      </c>
      <c r="H363">
        <v>3302000</v>
      </c>
      <c r="I363" t="s">
        <v>279</v>
      </c>
      <c r="J363" t="s">
        <v>29</v>
      </c>
      <c r="K363" t="s">
        <v>30</v>
      </c>
      <c r="M363" s="1">
        <v>45658</v>
      </c>
      <c r="O363" s="2">
        <v>3.0515046296296297E-2</v>
      </c>
      <c r="P363" t="s">
        <v>31</v>
      </c>
      <c r="Q363" s="2">
        <v>3.0515046296296297E-2</v>
      </c>
      <c r="T363" t="s">
        <v>482</v>
      </c>
      <c r="V363" s="2">
        <v>3.0679398148148147E-2</v>
      </c>
      <c r="W363" t="s">
        <v>32</v>
      </c>
      <c r="X363" t="s">
        <v>368</v>
      </c>
    </row>
    <row r="364" spans="1:24" x14ac:dyDescent="0.3">
      <c r="A364" t="s">
        <v>676</v>
      </c>
      <c r="B364" t="s">
        <v>366</v>
      </c>
      <c r="C364" t="s">
        <v>26</v>
      </c>
      <c r="D364">
        <v>-33553.120000000003</v>
      </c>
      <c r="E364">
        <v>-25666.68</v>
      </c>
      <c r="F364">
        <v>-33553.120000000003</v>
      </c>
      <c r="H364">
        <v>3302000</v>
      </c>
      <c r="I364" t="s">
        <v>279</v>
      </c>
      <c r="J364" t="s">
        <v>29</v>
      </c>
      <c r="K364" t="s">
        <v>30</v>
      </c>
      <c r="M364" s="1">
        <v>45658</v>
      </c>
      <c r="O364" s="2">
        <v>3.0515046296296297E-2</v>
      </c>
      <c r="P364" t="s">
        <v>31</v>
      </c>
      <c r="Q364" s="2">
        <v>3.0515046296296297E-2</v>
      </c>
      <c r="T364" t="s">
        <v>486</v>
      </c>
      <c r="V364" s="2">
        <v>3.0679398148148147E-2</v>
      </c>
      <c r="W364" t="s">
        <v>32</v>
      </c>
      <c r="X364" t="s">
        <v>368</v>
      </c>
    </row>
    <row r="365" spans="1:24" x14ac:dyDescent="0.3">
      <c r="A365" t="s">
        <v>677</v>
      </c>
      <c r="B365" t="s">
        <v>366</v>
      </c>
      <c r="C365" t="s">
        <v>26</v>
      </c>
      <c r="D365">
        <v>-130217.34</v>
      </c>
      <c r="E365">
        <v>-97128</v>
      </c>
      <c r="F365">
        <v>-130217.34</v>
      </c>
      <c r="H365">
        <v>3302000</v>
      </c>
      <c r="I365" t="s">
        <v>279</v>
      </c>
      <c r="J365" t="s">
        <v>29</v>
      </c>
      <c r="K365" t="s">
        <v>30</v>
      </c>
      <c r="M365" s="1">
        <v>45658</v>
      </c>
      <c r="O365" s="2">
        <v>3.0515046296296297E-2</v>
      </c>
      <c r="P365" t="s">
        <v>31</v>
      </c>
      <c r="Q365" s="2">
        <v>3.0515046296296297E-2</v>
      </c>
      <c r="T365" t="s">
        <v>488</v>
      </c>
      <c r="V365" s="2">
        <v>3.0679398148148147E-2</v>
      </c>
      <c r="W365" t="s">
        <v>32</v>
      </c>
      <c r="X365" t="s">
        <v>368</v>
      </c>
    </row>
    <row r="366" spans="1:24" x14ac:dyDescent="0.3">
      <c r="A366" t="s">
        <v>678</v>
      </c>
      <c r="B366" t="s">
        <v>366</v>
      </c>
      <c r="C366" t="s">
        <v>26</v>
      </c>
      <c r="D366">
        <v>-138790.66</v>
      </c>
      <c r="E366">
        <v>-104000.04</v>
      </c>
      <c r="F366">
        <v>-138790.66</v>
      </c>
      <c r="H366">
        <v>3302000</v>
      </c>
      <c r="I366" t="s">
        <v>279</v>
      </c>
      <c r="J366" t="s">
        <v>29</v>
      </c>
      <c r="K366" t="s">
        <v>30</v>
      </c>
      <c r="M366" s="1">
        <v>45658</v>
      </c>
      <c r="O366" s="2">
        <v>3.0515046296296297E-2</v>
      </c>
      <c r="P366" t="s">
        <v>31</v>
      </c>
      <c r="Q366" s="2">
        <v>3.0515046296296297E-2</v>
      </c>
      <c r="T366" t="s">
        <v>494</v>
      </c>
      <c r="V366" s="2">
        <v>3.0679398148148147E-2</v>
      </c>
      <c r="W366" t="s">
        <v>32</v>
      </c>
      <c r="X366" t="s">
        <v>368</v>
      </c>
    </row>
    <row r="367" spans="1:24" x14ac:dyDescent="0.3">
      <c r="A367" t="s">
        <v>679</v>
      </c>
      <c r="B367" t="s">
        <v>366</v>
      </c>
      <c r="C367" t="s">
        <v>26</v>
      </c>
      <c r="D367">
        <v>-171594.58</v>
      </c>
      <c r="E367">
        <v>-128580</v>
      </c>
      <c r="F367">
        <v>-171594.58</v>
      </c>
      <c r="H367">
        <v>3302000</v>
      </c>
      <c r="I367" t="s">
        <v>279</v>
      </c>
      <c r="J367" t="s">
        <v>29</v>
      </c>
      <c r="K367" t="s">
        <v>30</v>
      </c>
      <c r="M367" s="1">
        <v>45658</v>
      </c>
      <c r="O367" s="2">
        <v>3.0515046296296297E-2</v>
      </c>
      <c r="P367" t="s">
        <v>31</v>
      </c>
      <c r="Q367" s="2">
        <v>3.0515046296296297E-2</v>
      </c>
      <c r="T367" t="s">
        <v>500</v>
      </c>
      <c r="V367" s="2">
        <v>3.0679398148148147E-2</v>
      </c>
      <c r="W367" t="s">
        <v>32</v>
      </c>
      <c r="X367" t="s">
        <v>368</v>
      </c>
    </row>
    <row r="368" spans="1:24" x14ac:dyDescent="0.3">
      <c r="A368" t="s">
        <v>680</v>
      </c>
      <c r="B368" t="s">
        <v>366</v>
      </c>
      <c r="C368" t="s">
        <v>26</v>
      </c>
      <c r="D368">
        <v>-112100.1</v>
      </c>
      <c r="E368">
        <v>-84000</v>
      </c>
      <c r="F368">
        <v>-112100.1</v>
      </c>
      <c r="H368">
        <v>3302000</v>
      </c>
      <c r="I368" t="s">
        <v>279</v>
      </c>
      <c r="J368" t="s">
        <v>29</v>
      </c>
      <c r="K368" t="s">
        <v>30</v>
      </c>
      <c r="M368" s="1">
        <v>45658</v>
      </c>
      <c r="O368" s="2">
        <v>3.0515046296296297E-2</v>
      </c>
      <c r="P368" t="s">
        <v>31</v>
      </c>
      <c r="Q368" s="2">
        <v>3.0515046296296297E-2</v>
      </c>
      <c r="T368" t="s">
        <v>508</v>
      </c>
      <c r="V368" s="2">
        <v>3.0679398148148147E-2</v>
      </c>
      <c r="W368" t="s">
        <v>32</v>
      </c>
      <c r="X368" t="s">
        <v>368</v>
      </c>
    </row>
    <row r="369" spans="1:24" x14ac:dyDescent="0.3">
      <c r="A369" t="s">
        <v>681</v>
      </c>
      <c r="B369" t="s">
        <v>366</v>
      </c>
      <c r="C369" t="s">
        <v>26</v>
      </c>
      <c r="D369">
        <v>-206484.42</v>
      </c>
      <c r="E369">
        <v>-154784.69</v>
      </c>
      <c r="F369">
        <v>-206484.42</v>
      </c>
      <c r="H369">
        <v>3302000</v>
      </c>
      <c r="I369" t="s">
        <v>279</v>
      </c>
      <c r="J369" t="s">
        <v>29</v>
      </c>
      <c r="K369" t="s">
        <v>30</v>
      </c>
      <c r="M369" s="1">
        <v>45658</v>
      </c>
      <c r="O369" s="2">
        <v>3.0515046296296297E-2</v>
      </c>
      <c r="P369" t="s">
        <v>31</v>
      </c>
      <c r="Q369" s="2">
        <v>3.0515046296296297E-2</v>
      </c>
      <c r="T369" t="s">
        <v>682</v>
      </c>
      <c r="V369" s="2">
        <v>3.0679398148148147E-2</v>
      </c>
      <c r="W369" t="s">
        <v>32</v>
      </c>
      <c r="X369" t="s">
        <v>368</v>
      </c>
    </row>
    <row r="370" spans="1:24" x14ac:dyDescent="0.3">
      <c r="A370" t="s">
        <v>683</v>
      </c>
      <c r="B370" t="s">
        <v>366</v>
      </c>
      <c r="C370" t="s">
        <v>26</v>
      </c>
      <c r="D370">
        <v>-146189.1</v>
      </c>
      <c r="E370">
        <v>-109500</v>
      </c>
      <c r="F370">
        <v>-146189.1</v>
      </c>
      <c r="H370">
        <v>3302000</v>
      </c>
      <c r="I370" t="s">
        <v>279</v>
      </c>
      <c r="J370" t="s">
        <v>29</v>
      </c>
      <c r="K370" t="s">
        <v>30</v>
      </c>
      <c r="M370" s="1">
        <v>45658</v>
      </c>
      <c r="O370" s="2">
        <v>3.0515046296296297E-2</v>
      </c>
      <c r="P370" t="s">
        <v>31</v>
      </c>
      <c r="Q370" s="2">
        <v>3.0515046296296297E-2</v>
      </c>
      <c r="T370" t="s">
        <v>684</v>
      </c>
      <c r="V370" s="2">
        <v>3.0679398148148147E-2</v>
      </c>
      <c r="W370" t="s">
        <v>32</v>
      </c>
      <c r="X370" t="s">
        <v>368</v>
      </c>
    </row>
    <row r="371" spans="1:24" x14ac:dyDescent="0.3">
      <c r="A371" t="s">
        <v>685</v>
      </c>
      <c r="B371" t="s">
        <v>366</v>
      </c>
      <c r="C371" t="s">
        <v>26</v>
      </c>
      <c r="D371">
        <v>-68071.63</v>
      </c>
      <c r="E371">
        <v>-51425</v>
      </c>
      <c r="F371">
        <v>-68071.63</v>
      </c>
      <c r="H371">
        <v>3302000</v>
      </c>
      <c r="I371" t="s">
        <v>279</v>
      </c>
      <c r="J371" t="s">
        <v>29</v>
      </c>
      <c r="K371" t="s">
        <v>30</v>
      </c>
      <c r="M371" s="1">
        <v>45658</v>
      </c>
      <c r="O371" s="2">
        <v>3.0515046296296297E-2</v>
      </c>
      <c r="P371" t="s">
        <v>31</v>
      </c>
      <c r="Q371" s="2">
        <v>3.0515046296296297E-2</v>
      </c>
      <c r="T371" t="s">
        <v>669</v>
      </c>
      <c r="V371" s="2">
        <v>3.0679398148148147E-2</v>
      </c>
      <c r="W371" t="s">
        <v>32</v>
      </c>
      <c r="X371" t="s">
        <v>368</v>
      </c>
    </row>
    <row r="372" spans="1:24" x14ac:dyDescent="0.3">
      <c r="A372" t="s">
        <v>686</v>
      </c>
      <c r="B372" t="s">
        <v>25</v>
      </c>
      <c r="C372" t="s">
        <v>26</v>
      </c>
      <c r="D372">
        <v>-570.89</v>
      </c>
      <c r="E372">
        <v>-605.75</v>
      </c>
      <c r="F372">
        <v>-570.89</v>
      </c>
      <c r="G372" t="s">
        <v>27</v>
      </c>
      <c r="H372">
        <v>1243810</v>
      </c>
      <c r="I372" t="s">
        <v>339</v>
      </c>
      <c r="J372" t="s">
        <v>29</v>
      </c>
      <c r="K372" t="s">
        <v>30</v>
      </c>
      <c r="M372" s="1">
        <v>45658</v>
      </c>
      <c r="O372" s="2">
        <v>3.0515046296296297E-2</v>
      </c>
      <c r="P372" t="s">
        <v>31</v>
      </c>
      <c r="Q372" s="2">
        <v>3.0515046296296297E-2</v>
      </c>
      <c r="T372" t="s">
        <v>687</v>
      </c>
      <c r="V372" s="2">
        <v>3.0679398148148147E-2</v>
      </c>
      <c r="W372" t="s">
        <v>32</v>
      </c>
      <c r="X372" t="s">
        <v>30</v>
      </c>
    </row>
    <row r="373" spans="1:24" x14ac:dyDescent="0.3">
      <c r="A373" t="s">
        <v>688</v>
      </c>
      <c r="B373" t="s">
        <v>25</v>
      </c>
      <c r="C373" t="s">
        <v>26</v>
      </c>
      <c r="D373">
        <v>1358.2</v>
      </c>
      <c r="E373">
        <v>1000</v>
      </c>
      <c r="F373">
        <v>1358.2</v>
      </c>
      <c r="G373" t="s">
        <v>38</v>
      </c>
      <c r="H373">
        <v>3123701</v>
      </c>
      <c r="I373" t="s">
        <v>293</v>
      </c>
      <c r="J373" t="s">
        <v>29</v>
      </c>
      <c r="K373" t="s">
        <v>30</v>
      </c>
      <c r="M373" s="1">
        <v>45658</v>
      </c>
      <c r="O373" s="2">
        <v>3.0515046296296297E-2</v>
      </c>
      <c r="P373" t="s">
        <v>31</v>
      </c>
      <c r="Q373" s="2">
        <v>3.0515046296296297E-2</v>
      </c>
      <c r="T373" t="s">
        <v>689</v>
      </c>
      <c r="V373" s="2">
        <v>3.0679398148148147E-2</v>
      </c>
      <c r="W373" t="s">
        <v>32</v>
      </c>
      <c r="X373" t="s">
        <v>30</v>
      </c>
    </row>
    <row r="374" spans="1:24" x14ac:dyDescent="0.3">
      <c r="A374" t="s">
        <v>690</v>
      </c>
      <c r="B374" t="s">
        <v>25</v>
      </c>
      <c r="C374" t="s">
        <v>26</v>
      </c>
      <c r="D374">
        <v>216442.75</v>
      </c>
      <c r="E374">
        <v>159360</v>
      </c>
      <c r="F374">
        <v>216442.75</v>
      </c>
      <c r="G374" t="s">
        <v>38</v>
      </c>
      <c r="H374">
        <v>3123701</v>
      </c>
      <c r="I374" t="s">
        <v>293</v>
      </c>
      <c r="J374" t="s">
        <v>29</v>
      </c>
      <c r="K374" t="s">
        <v>30</v>
      </c>
      <c r="M374" s="1">
        <v>45658</v>
      </c>
      <c r="O374" s="2">
        <v>3.0515046296296297E-2</v>
      </c>
      <c r="P374" t="s">
        <v>31</v>
      </c>
      <c r="Q374" s="2">
        <v>3.0515046296296297E-2</v>
      </c>
      <c r="T374" t="s">
        <v>528</v>
      </c>
      <c r="V374" s="2">
        <v>3.0679398148148147E-2</v>
      </c>
      <c r="W374" t="s">
        <v>32</v>
      </c>
      <c r="X374" t="s">
        <v>30</v>
      </c>
    </row>
    <row r="375" spans="1:24" x14ac:dyDescent="0.3">
      <c r="A375" t="s">
        <v>691</v>
      </c>
      <c r="B375" t="s">
        <v>25</v>
      </c>
      <c r="C375" t="s">
        <v>26</v>
      </c>
      <c r="D375">
        <v>216442.75</v>
      </c>
      <c r="E375">
        <v>159360</v>
      </c>
      <c r="F375">
        <v>216442.75</v>
      </c>
      <c r="G375" t="s">
        <v>38</v>
      </c>
      <c r="H375">
        <v>3123701</v>
      </c>
      <c r="I375" t="s">
        <v>293</v>
      </c>
      <c r="J375" t="s">
        <v>29</v>
      </c>
      <c r="K375" t="s">
        <v>30</v>
      </c>
      <c r="M375" s="1">
        <v>45658</v>
      </c>
      <c r="O375" s="2">
        <v>3.0515046296296297E-2</v>
      </c>
      <c r="P375" t="s">
        <v>31</v>
      </c>
      <c r="Q375" s="2">
        <v>3.0515046296296297E-2</v>
      </c>
      <c r="T375" t="s">
        <v>530</v>
      </c>
      <c r="V375" s="2">
        <v>3.0679398148148147E-2</v>
      </c>
      <c r="W375" t="s">
        <v>32</v>
      </c>
      <c r="X375" t="s">
        <v>30</v>
      </c>
    </row>
    <row r="376" spans="1:24" x14ac:dyDescent="0.3">
      <c r="A376" t="s">
        <v>692</v>
      </c>
      <c r="B376" t="s">
        <v>25</v>
      </c>
      <c r="C376" t="s">
        <v>26</v>
      </c>
      <c r="D376">
        <v>-135820</v>
      </c>
      <c r="E376">
        <v>-100000</v>
      </c>
      <c r="F376">
        <v>-135820</v>
      </c>
      <c r="G376" t="s">
        <v>38</v>
      </c>
      <c r="H376">
        <v>3123701</v>
      </c>
      <c r="I376" t="s">
        <v>293</v>
      </c>
      <c r="J376" t="s">
        <v>29</v>
      </c>
      <c r="K376" t="s">
        <v>30</v>
      </c>
      <c r="M376" s="1">
        <v>45658</v>
      </c>
      <c r="O376" s="2">
        <v>3.0515046296296297E-2</v>
      </c>
      <c r="P376" t="s">
        <v>31</v>
      </c>
      <c r="Q376" s="2">
        <v>3.0515046296296297E-2</v>
      </c>
      <c r="T376" t="s">
        <v>693</v>
      </c>
      <c r="V376" s="2">
        <v>3.0679398148148147E-2</v>
      </c>
      <c r="W376" t="s">
        <v>32</v>
      </c>
      <c r="X376" t="s">
        <v>30</v>
      </c>
    </row>
    <row r="377" spans="1:24" x14ac:dyDescent="0.3">
      <c r="A377" t="s">
        <v>694</v>
      </c>
      <c r="B377" t="s">
        <v>25</v>
      </c>
      <c r="C377" t="s">
        <v>26</v>
      </c>
      <c r="D377">
        <v>-955</v>
      </c>
      <c r="E377">
        <v>-712.9</v>
      </c>
      <c r="F377">
        <v>-955</v>
      </c>
      <c r="G377" t="s">
        <v>27</v>
      </c>
      <c r="H377">
        <v>1243810</v>
      </c>
      <c r="I377" t="s">
        <v>339</v>
      </c>
      <c r="J377" t="s">
        <v>29</v>
      </c>
      <c r="K377" t="s">
        <v>30</v>
      </c>
      <c r="M377" s="1">
        <v>45658</v>
      </c>
      <c r="O377" s="2">
        <v>3.0515046296296297E-2</v>
      </c>
      <c r="P377" t="s">
        <v>31</v>
      </c>
      <c r="Q377" s="2">
        <v>3.0515046296296297E-2</v>
      </c>
      <c r="T377" t="s">
        <v>695</v>
      </c>
      <c r="V377" s="2">
        <v>3.0679398148148147E-2</v>
      </c>
      <c r="W377" t="s">
        <v>32</v>
      </c>
      <c r="X377" t="s">
        <v>30</v>
      </c>
    </row>
    <row r="378" spans="1:24" x14ac:dyDescent="0.3">
      <c r="A378" t="s">
        <v>696</v>
      </c>
      <c r="B378" t="s">
        <v>25</v>
      </c>
      <c r="C378" t="s">
        <v>26</v>
      </c>
      <c r="D378">
        <v>-79.260000000000005</v>
      </c>
      <c r="E378">
        <v>-59.17</v>
      </c>
      <c r="F378">
        <v>-79.260000000000005</v>
      </c>
      <c r="G378" t="s">
        <v>27</v>
      </c>
      <c r="H378">
        <v>1243810</v>
      </c>
      <c r="I378" t="s">
        <v>339</v>
      </c>
      <c r="J378" t="s">
        <v>29</v>
      </c>
      <c r="K378" t="s">
        <v>30</v>
      </c>
      <c r="M378" s="1">
        <v>45658</v>
      </c>
      <c r="O378" s="2">
        <v>3.0515046296296297E-2</v>
      </c>
      <c r="P378" t="s">
        <v>31</v>
      </c>
      <c r="Q378" s="2">
        <v>3.0515046296296297E-2</v>
      </c>
      <c r="T378" t="s">
        <v>697</v>
      </c>
      <c r="V378" s="2">
        <v>3.0679398148148147E-2</v>
      </c>
      <c r="W378" t="s">
        <v>32</v>
      </c>
      <c r="X378" t="s">
        <v>30</v>
      </c>
    </row>
    <row r="379" spans="1:24" x14ac:dyDescent="0.3">
      <c r="A379" t="s">
        <v>698</v>
      </c>
      <c r="B379" t="s">
        <v>25</v>
      </c>
      <c r="C379" t="s">
        <v>26</v>
      </c>
      <c r="D379">
        <v>515.89</v>
      </c>
      <c r="E379">
        <v>385.11</v>
      </c>
      <c r="F379">
        <v>515.89</v>
      </c>
      <c r="G379" t="s">
        <v>27</v>
      </c>
      <c r="H379">
        <v>1243810</v>
      </c>
      <c r="I379" t="s">
        <v>339</v>
      </c>
      <c r="J379" t="s">
        <v>29</v>
      </c>
      <c r="K379" t="s">
        <v>30</v>
      </c>
      <c r="M379" s="1">
        <v>45658</v>
      </c>
      <c r="O379" s="2">
        <v>3.0515046296296297E-2</v>
      </c>
      <c r="P379" t="s">
        <v>31</v>
      </c>
      <c r="Q379" s="2">
        <v>3.0515046296296297E-2</v>
      </c>
      <c r="T379" t="s">
        <v>699</v>
      </c>
      <c r="V379" s="2">
        <v>3.0679398148148147E-2</v>
      </c>
      <c r="W379" t="s">
        <v>32</v>
      </c>
      <c r="X379" t="s">
        <v>30</v>
      </c>
    </row>
    <row r="380" spans="1:24" x14ac:dyDescent="0.3">
      <c r="A380" t="s">
        <v>700</v>
      </c>
      <c r="B380" t="s">
        <v>25</v>
      </c>
      <c r="C380" t="s">
        <v>26</v>
      </c>
      <c r="D380">
        <v>-14.06</v>
      </c>
      <c r="E380">
        <v>-10.57</v>
      </c>
      <c r="F380">
        <v>-14.06</v>
      </c>
      <c r="G380" t="s">
        <v>27</v>
      </c>
      <c r="H380">
        <v>1243810</v>
      </c>
      <c r="I380" t="s">
        <v>339</v>
      </c>
      <c r="J380" t="s">
        <v>29</v>
      </c>
      <c r="K380" t="s">
        <v>30</v>
      </c>
      <c r="M380" s="1">
        <v>45658</v>
      </c>
      <c r="O380" s="2">
        <v>3.0515046296296297E-2</v>
      </c>
      <c r="P380" t="s">
        <v>31</v>
      </c>
      <c r="Q380" s="2">
        <v>3.0515046296296297E-2</v>
      </c>
      <c r="T380" t="s">
        <v>569</v>
      </c>
      <c r="V380" s="2">
        <v>3.0679398148148147E-2</v>
      </c>
      <c r="W380" t="s">
        <v>32</v>
      </c>
      <c r="X380" t="s">
        <v>30</v>
      </c>
    </row>
    <row r="381" spans="1:24" x14ac:dyDescent="0.3">
      <c r="A381" t="s">
        <v>701</v>
      </c>
      <c r="B381" t="s">
        <v>25</v>
      </c>
      <c r="C381" t="s">
        <v>26</v>
      </c>
      <c r="D381">
        <v>-31.89</v>
      </c>
      <c r="E381">
        <v>-23.81</v>
      </c>
      <c r="F381">
        <v>-31.89</v>
      </c>
      <c r="G381" t="s">
        <v>27</v>
      </c>
      <c r="H381">
        <v>1243810</v>
      </c>
      <c r="I381" t="s">
        <v>339</v>
      </c>
      <c r="J381" t="s">
        <v>29</v>
      </c>
      <c r="K381" t="s">
        <v>30</v>
      </c>
      <c r="M381" s="1">
        <v>45658</v>
      </c>
      <c r="O381" s="2">
        <v>3.0515046296296297E-2</v>
      </c>
      <c r="P381" t="s">
        <v>31</v>
      </c>
      <c r="Q381" s="2">
        <v>3.0515046296296297E-2</v>
      </c>
      <c r="T381" t="s">
        <v>702</v>
      </c>
      <c r="V381" s="2">
        <v>3.0679398148148147E-2</v>
      </c>
      <c r="W381" t="s">
        <v>32</v>
      </c>
      <c r="X381" t="s">
        <v>30</v>
      </c>
    </row>
    <row r="382" spans="1:24" x14ac:dyDescent="0.3">
      <c r="A382" t="s">
        <v>703</v>
      </c>
      <c r="B382" t="s">
        <v>25</v>
      </c>
      <c r="C382" t="s">
        <v>26</v>
      </c>
      <c r="D382">
        <v>-600.96</v>
      </c>
      <c r="E382">
        <v>-444.44</v>
      </c>
      <c r="F382">
        <v>-600.96</v>
      </c>
      <c r="G382" t="s">
        <v>27</v>
      </c>
      <c r="H382">
        <v>1243810</v>
      </c>
      <c r="I382" t="s">
        <v>339</v>
      </c>
      <c r="J382" t="s">
        <v>29</v>
      </c>
      <c r="K382" t="s">
        <v>30</v>
      </c>
      <c r="M382" s="1">
        <v>45658</v>
      </c>
      <c r="O382" s="2">
        <v>3.0515046296296297E-2</v>
      </c>
      <c r="P382" t="s">
        <v>31</v>
      </c>
      <c r="Q382" s="2">
        <v>3.0515046296296297E-2</v>
      </c>
      <c r="T382" t="s">
        <v>573</v>
      </c>
      <c r="V382" s="2">
        <v>3.0679398148148147E-2</v>
      </c>
      <c r="W382" t="s">
        <v>32</v>
      </c>
      <c r="X382" t="s">
        <v>30</v>
      </c>
    </row>
    <row r="383" spans="1:24" x14ac:dyDescent="0.3">
      <c r="A383" t="s">
        <v>704</v>
      </c>
      <c r="B383" t="s">
        <v>25</v>
      </c>
      <c r="C383" t="s">
        <v>26</v>
      </c>
      <c r="D383">
        <v>-281.33999999999997</v>
      </c>
      <c r="E383">
        <v>-207</v>
      </c>
      <c r="F383">
        <v>-281.33999999999997</v>
      </c>
      <c r="G383" t="s">
        <v>27</v>
      </c>
      <c r="H383">
        <v>1243810</v>
      </c>
      <c r="I383" t="s">
        <v>339</v>
      </c>
      <c r="J383" t="s">
        <v>29</v>
      </c>
      <c r="K383" t="s">
        <v>30</v>
      </c>
      <c r="M383" s="1">
        <v>45658</v>
      </c>
      <c r="O383" s="2">
        <v>3.0515046296296297E-2</v>
      </c>
      <c r="P383" t="s">
        <v>31</v>
      </c>
      <c r="Q383" s="2">
        <v>3.0515046296296297E-2</v>
      </c>
      <c r="T383" t="s">
        <v>575</v>
      </c>
      <c r="V383" s="2">
        <v>3.0679398148148147E-2</v>
      </c>
      <c r="W383" t="s">
        <v>32</v>
      </c>
      <c r="X383" t="s">
        <v>30</v>
      </c>
    </row>
    <row r="384" spans="1:24" x14ac:dyDescent="0.3">
      <c r="A384" t="s">
        <v>705</v>
      </c>
      <c r="B384" t="s">
        <v>25</v>
      </c>
      <c r="C384" t="s">
        <v>26</v>
      </c>
      <c r="D384">
        <v>-48.6</v>
      </c>
      <c r="E384">
        <v>-36.08</v>
      </c>
      <c r="F384">
        <v>-48.6</v>
      </c>
      <c r="G384" t="s">
        <v>27</v>
      </c>
      <c r="H384">
        <v>1243810</v>
      </c>
      <c r="I384" t="s">
        <v>339</v>
      </c>
      <c r="J384" t="s">
        <v>29</v>
      </c>
      <c r="K384" t="s">
        <v>30</v>
      </c>
      <c r="M384" s="1">
        <v>45658</v>
      </c>
      <c r="O384" s="2">
        <v>3.0515046296296297E-2</v>
      </c>
      <c r="P384" t="s">
        <v>31</v>
      </c>
      <c r="Q384" s="2">
        <v>3.0515046296296297E-2</v>
      </c>
      <c r="T384" t="s">
        <v>706</v>
      </c>
      <c r="V384" s="2">
        <v>3.0679398148148147E-2</v>
      </c>
      <c r="W384" t="s">
        <v>32</v>
      </c>
      <c r="X384" t="s">
        <v>30</v>
      </c>
    </row>
    <row r="385" spans="1:24" x14ac:dyDescent="0.3">
      <c r="A385" t="s">
        <v>707</v>
      </c>
      <c r="B385" t="s">
        <v>25</v>
      </c>
      <c r="C385" t="s">
        <v>26</v>
      </c>
      <c r="D385">
        <v>-2800.07</v>
      </c>
      <c r="E385">
        <v>-2073.69</v>
      </c>
      <c r="F385">
        <v>-2800.07</v>
      </c>
      <c r="G385" t="s">
        <v>27</v>
      </c>
      <c r="H385">
        <v>1243810</v>
      </c>
      <c r="I385" t="s">
        <v>339</v>
      </c>
      <c r="J385" t="s">
        <v>29</v>
      </c>
      <c r="K385" t="s">
        <v>30</v>
      </c>
      <c r="M385" s="1">
        <v>45658</v>
      </c>
      <c r="O385" s="2">
        <v>3.0515046296296297E-2</v>
      </c>
      <c r="P385" t="s">
        <v>31</v>
      </c>
      <c r="Q385" s="2">
        <v>3.0515046296296297E-2</v>
      </c>
      <c r="T385" t="s">
        <v>579</v>
      </c>
      <c r="V385" s="2">
        <v>3.0679398148148147E-2</v>
      </c>
      <c r="W385" t="s">
        <v>32</v>
      </c>
      <c r="X385" t="s">
        <v>30</v>
      </c>
    </row>
    <row r="386" spans="1:24" x14ac:dyDescent="0.3">
      <c r="A386" t="s">
        <v>708</v>
      </c>
      <c r="B386" t="s">
        <v>25</v>
      </c>
      <c r="C386" t="s">
        <v>26</v>
      </c>
      <c r="D386">
        <v>55.31</v>
      </c>
      <c r="E386">
        <v>41.29</v>
      </c>
      <c r="F386">
        <v>55.31</v>
      </c>
      <c r="G386" t="s">
        <v>27</v>
      </c>
      <c r="H386">
        <v>1243810</v>
      </c>
      <c r="I386" t="s">
        <v>339</v>
      </c>
      <c r="J386" t="s">
        <v>29</v>
      </c>
      <c r="K386" t="s">
        <v>30</v>
      </c>
      <c r="M386" s="1">
        <v>45658</v>
      </c>
      <c r="O386" s="2">
        <v>3.0515046296296297E-2</v>
      </c>
      <c r="P386" t="s">
        <v>31</v>
      </c>
      <c r="Q386" s="2">
        <v>3.0515046296296297E-2</v>
      </c>
      <c r="T386" t="s">
        <v>581</v>
      </c>
      <c r="V386" s="2">
        <v>3.0679398148148147E-2</v>
      </c>
      <c r="W386" t="s">
        <v>32</v>
      </c>
      <c r="X386" t="s">
        <v>30</v>
      </c>
    </row>
    <row r="387" spans="1:24" x14ac:dyDescent="0.3">
      <c r="A387" t="s">
        <v>709</v>
      </c>
      <c r="B387" t="s">
        <v>25</v>
      </c>
      <c r="C387" t="s">
        <v>26</v>
      </c>
      <c r="D387">
        <v>413.44</v>
      </c>
      <c r="E387">
        <v>307.76</v>
      </c>
      <c r="F387">
        <v>413.44</v>
      </c>
      <c r="G387" t="s">
        <v>27</v>
      </c>
      <c r="H387">
        <v>1243810</v>
      </c>
      <c r="I387" t="s">
        <v>339</v>
      </c>
      <c r="J387" t="s">
        <v>29</v>
      </c>
      <c r="K387" t="s">
        <v>30</v>
      </c>
      <c r="M387" s="1">
        <v>45658</v>
      </c>
      <c r="O387" s="2">
        <v>3.0515046296296297E-2</v>
      </c>
      <c r="P387" t="s">
        <v>31</v>
      </c>
      <c r="Q387" s="2">
        <v>3.0515046296296297E-2</v>
      </c>
      <c r="T387" t="s">
        <v>710</v>
      </c>
      <c r="V387" s="2">
        <v>3.0679398148148147E-2</v>
      </c>
      <c r="W387" t="s">
        <v>32</v>
      </c>
      <c r="X387" t="s">
        <v>30</v>
      </c>
    </row>
    <row r="388" spans="1:24" x14ac:dyDescent="0.3">
      <c r="A388" t="s">
        <v>711</v>
      </c>
      <c r="B388" t="s">
        <v>25</v>
      </c>
      <c r="C388" t="s">
        <v>26</v>
      </c>
      <c r="D388">
        <v>-1.62</v>
      </c>
      <c r="E388">
        <v>-1.5</v>
      </c>
      <c r="F388">
        <v>-1.62</v>
      </c>
      <c r="G388" t="s">
        <v>27</v>
      </c>
      <c r="H388">
        <v>1243810</v>
      </c>
      <c r="I388" t="s">
        <v>339</v>
      </c>
      <c r="J388" t="s">
        <v>29</v>
      </c>
      <c r="K388" t="s">
        <v>30</v>
      </c>
      <c r="M388" s="1">
        <v>45658</v>
      </c>
      <c r="O388" s="2">
        <v>3.0515046296296297E-2</v>
      </c>
      <c r="P388" t="s">
        <v>31</v>
      </c>
      <c r="Q388" s="2">
        <v>3.0515046296296297E-2</v>
      </c>
      <c r="T388" t="s">
        <v>585</v>
      </c>
      <c r="V388" s="2">
        <v>3.0679398148148147E-2</v>
      </c>
      <c r="W388" t="s">
        <v>32</v>
      </c>
      <c r="X388" t="s">
        <v>30</v>
      </c>
    </row>
    <row r="389" spans="1:24" x14ac:dyDescent="0.3">
      <c r="A389" t="s">
        <v>712</v>
      </c>
      <c r="B389" t="s">
        <v>25</v>
      </c>
      <c r="C389" t="s">
        <v>26</v>
      </c>
      <c r="D389">
        <v>-3046.73</v>
      </c>
      <c r="E389">
        <v>-2273.14</v>
      </c>
      <c r="F389">
        <v>-3046.73</v>
      </c>
      <c r="G389" t="s">
        <v>27</v>
      </c>
      <c r="H389">
        <v>1243810</v>
      </c>
      <c r="I389" t="s">
        <v>339</v>
      </c>
      <c r="J389" t="s">
        <v>29</v>
      </c>
      <c r="K389" t="s">
        <v>30</v>
      </c>
      <c r="M389" s="1">
        <v>45658</v>
      </c>
      <c r="O389" s="2">
        <v>3.0515046296296297E-2</v>
      </c>
      <c r="P389" t="s">
        <v>31</v>
      </c>
      <c r="Q389" s="2">
        <v>3.0515046296296297E-2</v>
      </c>
      <c r="T389" t="s">
        <v>587</v>
      </c>
      <c r="V389" s="2">
        <v>3.0679398148148147E-2</v>
      </c>
      <c r="W389" t="s">
        <v>32</v>
      </c>
      <c r="X389" t="s">
        <v>30</v>
      </c>
    </row>
    <row r="390" spans="1:24" x14ac:dyDescent="0.3">
      <c r="A390" t="s">
        <v>713</v>
      </c>
      <c r="B390" t="s">
        <v>25</v>
      </c>
      <c r="C390" t="s">
        <v>26</v>
      </c>
      <c r="D390">
        <v>1250.24</v>
      </c>
      <c r="E390">
        <v>933.64</v>
      </c>
      <c r="F390">
        <v>1250.24</v>
      </c>
      <c r="G390" t="s">
        <v>27</v>
      </c>
      <c r="H390">
        <v>1243810</v>
      </c>
      <c r="I390" t="s">
        <v>339</v>
      </c>
      <c r="J390" t="s">
        <v>29</v>
      </c>
      <c r="K390" t="s">
        <v>30</v>
      </c>
      <c r="M390" s="1">
        <v>45658</v>
      </c>
      <c r="O390" s="2">
        <v>3.0515046296296297E-2</v>
      </c>
      <c r="P390" t="s">
        <v>31</v>
      </c>
      <c r="Q390" s="2">
        <v>3.0515046296296297E-2</v>
      </c>
      <c r="T390" t="s">
        <v>442</v>
      </c>
      <c r="V390" s="2">
        <v>3.0679398148148147E-2</v>
      </c>
      <c r="W390" t="s">
        <v>32</v>
      </c>
      <c r="X390" t="s">
        <v>30</v>
      </c>
    </row>
    <row r="391" spans="1:24" x14ac:dyDescent="0.3">
      <c r="A391" t="s">
        <v>714</v>
      </c>
      <c r="B391" t="s">
        <v>25</v>
      </c>
      <c r="C391" t="s">
        <v>26</v>
      </c>
      <c r="D391">
        <v>-472.07</v>
      </c>
      <c r="E391">
        <v>-350.33</v>
      </c>
      <c r="F391">
        <v>-472.07</v>
      </c>
      <c r="G391" t="s">
        <v>27</v>
      </c>
      <c r="H391">
        <v>1243810</v>
      </c>
      <c r="I391" t="s">
        <v>339</v>
      </c>
      <c r="J391" t="s">
        <v>29</v>
      </c>
      <c r="K391" t="s">
        <v>30</v>
      </c>
      <c r="M391" s="1">
        <v>45658</v>
      </c>
      <c r="O391" s="2">
        <v>3.0515046296296297E-2</v>
      </c>
      <c r="P391" t="s">
        <v>31</v>
      </c>
      <c r="Q391" s="2">
        <v>3.0515046296296297E-2</v>
      </c>
      <c r="T391" t="s">
        <v>589</v>
      </c>
      <c r="V391" s="2">
        <v>3.0679398148148147E-2</v>
      </c>
      <c r="W391" t="s">
        <v>32</v>
      </c>
      <c r="X391" t="s">
        <v>30</v>
      </c>
    </row>
    <row r="392" spans="1:24" x14ac:dyDescent="0.3">
      <c r="A392" t="s">
        <v>715</v>
      </c>
      <c r="B392" t="s">
        <v>25</v>
      </c>
      <c r="C392" t="s">
        <v>26</v>
      </c>
      <c r="D392">
        <v>4.18</v>
      </c>
      <c r="E392">
        <v>3.12</v>
      </c>
      <c r="F392">
        <v>4.18</v>
      </c>
      <c r="G392" t="s">
        <v>27</v>
      </c>
      <c r="H392">
        <v>1243810</v>
      </c>
      <c r="I392" t="s">
        <v>339</v>
      </c>
      <c r="J392" t="s">
        <v>29</v>
      </c>
      <c r="K392" t="s">
        <v>30</v>
      </c>
      <c r="M392" s="1">
        <v>45658</v>
      </c>
      <c r="O392" s="2">
        <v>3.0515046296296297E-2</v>
      </c>
      <c r="P392" t="s">
        <v>31</v>
      </c>
      <c r="Q392" s="2">
        <v>3.0515046296296297E-2</v>
      </c>
      <c r="T392" t="s">
        <v>716</v>
      </c>
      <c r="V392" s="2">
        <v>3.0679398148148147E-2</v>
      </c>
      <c r="W392" t="s">
        <v>32</v>
      </c>
      <c r="X392" t="s">
        <v>30</v>
      </c>
    </row>
    <row r="393" spans="1:24" x14ac:dyDescent="0.3">
      <c r="A393" t="s">
        <v>717</v>
      </c>
      <c r="B393" t="s">
        <v>25</v>
      </c>
      <c r="C393" t="s">
        <v>26</v>
      </c>
      <c r="D393">
        <v>13.59</v>
      </c>
      <c r="E393">
        <v>-29.68</v>
      </c>
      <c r="F393">
        <v>13.59</v>
      </c>
      <c r="G393" t="s">
        <v>27</v>
      </c>
      <c r="H393">
        <v>1243810</v>
      </c>
      <c r="I393" t="s">
        <v>339</v>
      </c>
      <c r="J393" t="s">
        <v>29</v>
      </c>
      <c r="K393" t="s">
        <v>30</v>
      </c>
      <c r="M393" s="1">
        <v>45658</v>
      </c>
      <c r="O393" s="2">
        <v>3.0515046296296297E-2</v>
      </c>
      <c r="P393" t="s">
        <v>31</v>
      </c>
      <c r="Q393" s="2">
        <v>3.0515046296296297E-2</v>
      </c>
      <c r="T393" t="s">
        <v>591</v>
      </c>
      <c r="V393" s="2">
        <v>3.0679398148148147E-2</v>
      </c>
      <c r="W393" t="s">
        <v>32</v>
      </c>
      <c r="X393" t="s">
        <v>30</v>
      </c>
    </row>
    <row r="394" spans="1:24" x14ac:dyDescent="0.3">
      <c r="A394" t="s">
        <v>718</v>
      </c>
      <c r="B394" t="s">
        <v>25</v>
      </c>
      <c r="C394" t="s">
        <v>26</v>
      </c>
      <c r="D394">
        <v>-488.42</v>
      </c>
      <c r="E394">
        <v>-364.6</v>
      </c>
      <c r="F394">
        <v>-488.42</v>
      </c>
      <c r="G394" t="s">
        <v>27</v>
      </c>
      <c r="H394">
        <v>1243810</v>
      </c>
      <c r="I394" t="s">
        <v>339</v>
      </c>
      <c r="J394" t="s">
        <v>29</v>
      </c>
      <c r="K394" t="s">
        <v>30</v>
      </c>
      <c r="M394" s="1">
        <v>45658</v>
      </c>
      <c r="O394" s="2">
        <v>3.0515046296296297E-2</v>
      </c>
      <c r="P394" t="s">
        <v>31</v>
      </c>
      <c r="Q394" s="2">
        <v>3.0515046296296297E-2</v>
      </c>
      <c r="T394" t="s">
        <v>719</v>
      </c>
      <c r="V394" s="2">
        <v>3.0679398148148147E-2</v>
      </c>
      <c r="W394" t="s">
        <v>32</v>
      </c>
      <c r="X394" t="s">
        <v>30</v>
      </c>
    </row>
    <row r="395" spans="1:24" x14ac:dyDescent="0.3">
      <c r="A395" t="s">
        <v>720</v>
      </c>
      <c r="B395" t="s">
        <v>25</v>
      </c>
      <c r="C395" t="s">
        <v>26</v>
      </c>
      <c r="D395">
        <v>15.97</v>
      </c>
      <c r="E395">
        <v>11.92</v>
      </c>
      <c r="F395">
        <v>15.97</v>
      </c>
      <c r="G395" t="s">
        <v>27</v>
      </c>
      <c r="H395">
        <v>1243810</v>
      </c>
      <c r="I395" t="s">
        <v>339</v>
      </c>
      <c r="J395" t="s">
        <v>29</v>
      </c>
      <c r="K395" t="s">
        <v>30</v>
      </c>
      <c r="M395" s="1">
        <v>45658</v>
      </c>
      <c r="O395" s="2">
        <v>3.0515046296296297E-2</v>
      </c>
      <c r="P395" t="s">
        <v>31</v>
      </c>
      <c r="Q395" s="2">
        <v>3.0515046296296297E-2</v>
      </c>
      <c r="T395" t="s">
        <v>721</v>
      </c>
      <c r="V395" s="2">
        <v>3.0679398148148147E-2</v>
      </c>
      <c r="W395" t="s">
        <v>32</v>
      </c>
      <c r="X395" t="s">
        <v>30</v>
      </c>
    </row>
    <row r="396" spans="1:24" x14ac:dyDescent="0.3">
      <c r="A396" t="s">
        <v>722</v>
      </c>
      <c r="B396" t="s">
        <v>25</v>
      </c>
      <c r="C396" t="s">
        <v>26</v>
      </c>
      <c r="D396">
        <v>-68.25</v>
      </c>
      <c r="E396">
        <v>-50.95</v>
      </c>
      <c r="F396">
        <v>-68.25</v>
      </c>
      <c r="G396" t="s">
        <v>27</v>
      </c>
      <c r="H396">
        <v>1243810</v>
      </c>
      <c r="I396" t="s">
        <v>339</v>
      </c>
      <c r="J396" t="s">
        <v>29</v>
      </c>
      <c r="K396" t="s">
        <v>30</v>
      </c>
      <c r="M396" s="1">
        <v>45658</v>
      </c>
      <c r="O396" s="2">
        <v>3.0515046296296297E-2</v>
      </c>
      <c r="P396" t="s">
        <v>31</v>
      </c>
      <c r="Q396" s="2">
        <v>3.0515046296296297E-2</v>
      </c>
      <c r="T396" t="s">
        <v>723</v>
      </c>
      <c r="V396" s="2">
        <v>3.0679398148148147E-2</v>
      </c>
      <c r="W396" t="s">
        <v>32</v>
      </c>
      <c r="X396" t="s">
        <v>30</v>
      </c>
    </row>
    <row r="397" spans="1:24" x14ac:dyDescent="0.3">
      <c r="A397" t="s">
        <v>724</v>
      </c>
      <c r="B397" t="s">
        <v>25</v>
      </c>
      <c r="C397" t="s">
        <v>26</v>
      </c>
      <c r="D397">
        <v>-1.29</v>
      </c>
      <c r="E397">
        <v>-0.96</v>
      </c>
      <c r="F397">
        <v>-1.29</v>
      </c>
      <c r="G397" t="s">
        <v>27</v>
      </c>
      <c r="H397">
        <v>1243810</v>
      </c>
      <c r="I397" t="s">
        <v>339</v>
      </c>
      <c r="J397" t="s">
        <v>29</v>
      </c>
      <c r="K397" t="s">
        <v>30</v>
      </c>
      <c r="M397" s="1">
        <v>45658</v>
      </c>
      <c r="O397" s="2">
        <v>3.0515046296296297E-2</v>
      </c>
      <c r="P397" t="s">
        <v>31</v>
      </c>
      <c r="Q397" s="2">
        <v>3.0515046296296297E-2</v>
      </c>
      <c r="T397" t="s">
        <v>633</v>
      </c>
      <c r="V397" s="2">
        <v>3.0679398148148147E-2</v>
      </c>
      <c r="W397" t="s">
        <v>32</v>
      </c>
      <c r="X397" t="s">
        <v>30</v>
      </c>
    </row>
    <row r="398" spans="1:24" x14ac:dyDescent="0.3">
      <c r="A398" t="s">
        <v>725</v>
      </c>
      <c r="B398" t="s">
        <v>25</v>
      </c>
      <c r="C398" t="s">
        <v>26</v>
      </c>
      <c r="D398">
        <v>-5042.3599999999997</v>
      </c>
      <c r="E398">
        <v>-3744.2</v>
      </c>
      <c r="F398">
        <v>-5042.3599999999997</v>
      </c>
      <c r="G398" t="s">
        <v>27</v>
      </c>
      <c r="H398">
        <v>1243810</v>
      </c>
      <c r="I398" t="s">
        <v>339</v>
      </c>
      <c r="J398" t="s">
        <v>29</v>
      </c>
      <c r="K398" t="s">
        <v>30</v>
      </c>
      <c r="M398" s="1">
        <v>45658</v>
      </c>
      <c r="O398" s="2">
        <v>3.0515046296296297E-2</v>
      </c>
      <c r="P398" t="s">
        <v>31</v>
      </c>
      <c r="Q398" s="2">
        <v>3.0515046296296297E-2</v>
      </c>
      <c r="T398" t="s">
        <v>726</v>
      </c>
      <c r="V398" s="2">
        <v>3.0679398148148147E-2</v>
      </c>
      <c r="W398" t="s">
        <v>32</v>
      </c>
      <c r="X398" t="s">
        <v>30</v>
      </c>
    </row>
    <row r="399" spans="1:24" x14ac:dyDescent="0.3">
      <c r="A399" t="s">
        <v>727</v>
      </c>
      <c r="B399" t="s">
        <v>25</v>
      </c>
      <c r="C399" t="s">
        <v>26</v>
      </c>
      <c r="D399">
        <v>-687.15</v>
      </c>
      <c r="E399">
        <v>-517.1</v>
      </c>
      <c r="F399">
        <v>-687.15</v>
      </c>
      <c r="G399" t="s">
        <v>27</v>
      </c>
      <c r="H399">
        <v>1243810</v>
      </c>
      <c r="I399" t="s">
        <v>339</v>
      </c>
      <c r="J399" t="s">
        <v>29</v>
      </c>
      <c r="K399" t="s">
        <v>30</v>
      </c>
      <c r="M399" s="1">
        <v>45658</v>
      </c>
      <c r="O399" s="2">
        <v>3.0515046296296297E-2</v>
      </c>
      <c r="P399" t="s">
        <v>31</v>
      </c>
      <c r="Q399" s="2">
        <v>3.0515046296296297E-2</v>
      </c>
      <c r="T399" t="s">
        <v>728</v>
      </c>
      <c r="V399" s="2">
        <v>3.0679398148148147E-2</v>
      </c>
      <c r="W399" t="s">
        <v>32</v>
      </c>
      <c r="X399" t="s">
        <v>30</v>
      </c>
    </row>
    <row r="400" spans="1:24" x14ac:dyDescent="0.3">
      <c r="A400" t="s">
        <v>729</v>
      </c>
      <c r="B400" t="s">
        <v>25</v>
      </c>
      <c r="C400" t="s">
        <v>26</v>
      </c>
      <c r="D400">
        <v>879.64</v>
      </c>
      <c r="E400">
        <v>656.64</v>
      </c>
      <c r="F400">
        <v>879.64</v>
      </c>
      <c r="G400" t="s">
        <v>27</v>
      </c>
      <c r="H400">
        <v>1243810</v>
      </c>
      <c r="I400" t="s">
        <v>339</v>
      </c>
      <c r="J400" t="s">
        <v>29</v>
      </c>
      <c r="K400" t="s">
        <v>30</v>
      </c>
      <c r="M400" s="1">
        <v>45658</v>
      </c>
      <c r="O400" s="2">
        <v>3.0515046296296297E-2</v>
      </c>
      <c r="P400" t="s">
        <v>31</v>
      </c>
      <c r="Q400" s="2">
        <v>3.0515046296296297E-2</v>
      </c>
      <c r="T400" t="s">
        <v>730</v>
      </c>
      <c r="V400" s="2">
        <v>3.0679398148148147E-2</v>
      </c>
      <c r="W400" t="s">
        <v>32</v>
      </c>
      <c r="X400" t="s">
        <v>30</v>
      </c>
    </row>
    <row r="401" spans="1:24" x14ac:dyDescent="0.3">
      <c r="A401" t="s">
        <v>731</v>
      </c>
      <c r="B401" t="s">
        <v>25</v>
      </c>
      <c r="C401" t="s">
        <v>26</v>
      </c>
      <c r="D401">
        <v>-526.49</v>
      </c>
      <c r="E401">
        <v>-484.3</v>
      </c>
      <c r="F401">
        <v>-526.49</v>
      </c>
      <c r="G401" t="s">
        <v>27</v>
      </c>
      <c r="H401">
        <v>1243810</v>
      </c>
      <c r="I401" t="s">
        <v>339</v>
      </c>
      <c r="J401" t="s">
        <v>29</v>
      </c>
      <c r="K401" t="s">
        <v>30</v>
      </c>
      <c r="M401" s="1">
        <v>45658</v>
      </c>
      <c r="O401" s="2">
        <v>3.0515046296296297E-2</v>
      </c>
      <c r="P401" t="s">
        <v>31</v>
      </c>
      <c r="Q401" s="2">
        <v>3.0515046296296297E-2</v>
      </c>
      <c r="T401" t="s">
        <v>643</v>
      </c>
      <c r="V401" s="2">
        <v>3.0679398148148147E-2</v>
      </c>
      <c r="W401" t="s">
        <v>32</v>
      </c>
      <c r="X401" t="s">
        <v>30</v>
      </c>
    </row>
    <row r="402" spans="1:24" x14ac:dyDescent="0.3">
      <c r="A402" t="s">
        <v>732</v>
      </c>
      <c r="B402" t="s">
        <v>25</v>
      </c>
      <c r="C402" t="s">
        <v>26</v>
      </c>
      <c r="D402">
        <v>-1415.81</v>
      </c>
      <c r="E402">
        <v>-1056.51</v>
      </c>
      <c r="F402">
        <v>-1415.81</v>
      </c>
      <c r="G402" t="s">
        <v>27</v>
      </c>
      <c r="H402">
        <v>1243810</v>
      </c>
      <c r="I402" t="s">
        <v>339</v>
      </c>
      <c r="J402" t="s">
        <v>29</v>
      </c>
      <c r="K402" t="s">
        <v>30</v>
      </c>
      <c r="M402" s="1">
        <v>45658</v>
      </c>
      <c r="O402" s="2">
        <v>3.0515046296296297E-2</v>
      </c>
      <c r="P402" t="s">
        <v>31</v>
      </c>
      <c r="Q402" s="2">
        <v>3.0515046296296297E-2</v>
      </c>
      <c r="T402" t="s">
        <v>733</v>
      </c>
      <c r="V402" s="2">
        <v>3.0679398148148147E-2</v>
      </c>
      <c r="W402" t="s">
        <v>32</v>
      </c>
      <c r="X402" t="s">
        <v>30</v>
      </c>
    </row>
    <row r="403" spans="1:24" x14ac:dyDescent="0.3">
      <c r="A403" t="s">
        <v>734</v>
      </c>
      <c r="B403" t="s">
        <v>25</v>
      </c>
      <c r="C403" t="s">
        <v>26</v>
      </c>
      <c r="D403">
        <v>-85.72</v>
      </c>
      <c r="E403">
        <v>-105.23</v>
      </c>
      <c r="F403">
        <v>-85.72</v>
      </c>
      <c r="G403" t="s">
        <v>27</v>
      </c>
      <c r="H403">
        <v>1243810</v>
      </c>
      <c r="I403" t="s">
        <v>339</v>
      </c>
      <c r="J403" t="s">
        <v>29</v>
      </c>
      <c r="K403" t="s">
        <v>30</v>
      </c>
      <c r="M403" s="1">
        <v>45658</v>
      </c>
      <c r="O403" s="2">
        <v>3.0515046296296297E-2</v>
      </c>
      <c r="P403" t="s">
        <v>31</v>
      </c>
      <c r="Q403" s="2">
        <v>3.0515046296296297E-2</v>
      </c>
      <c r="T403" t="s">
        <v>645</v>
      </c>
      <c r="V403" s="2">
        <v>3.0679398148148147E-2</v>
      </c>
      <c r="W403" t="s">
        <v>32</v>
      </c>
      <c r="X403" t="s">
        <v>30</v>
      </c>
    </row>
    <row r="404" spans="1:24" x14ac:dyDescent="0.3">
      <c r="A404" t="s">
        <v>735</v>
      </c>
      <c r="B404" t="s">
        <v>25</v>
      </c>
      <c r="C404" t="s">
        <v>26</v>
      </c>
      <c r="D404">
        <v>12.81</v>
      </c>
      <c r="E404">
        <v>15.56</v>
      </c>
      <c r="F404">
        <v>12.81</v>
      </c>
      <c r="G404" t="s">
        <v>27</v>
      </c>
      <c r="H404">
        <v>1243810</v>
      </c>
      <c r="I404" t="s">
        <v>339</v>
      </c>
      <c r="J404" t="s">
        <v>29</v>
      </c>
      <c r="K404" t="s">
        <v>30</v>
      </c>
      <c r="M404" s="1">
        <v>45658</v>
      </c>
      <c r="O404" s="2">
        <v>3.0515046296296297E-2</v>
      </c>
      <c r="P404" t="s">
        <v>31</v>
      </c>
      <c r="Q404" s="2">
        <v>3.0515046296296297E-2</v>
      </c>
      <c r="T404" t="s">
        <v>647</v>
      </c>
      <c r="V404" s="2">
        <v>3.0679398148148147E-2</v>
      </c>
      <c r="W404" t="s">
        <v>32</v>
      </c>
      <c r="X404" t="s">
        <v>30</v>
      </c>
    </row>
    <row r="405" spans="1:24" x14ac:dyDescent="0.3">
      <c r="A405" t="s">
        <v>736</v>
      </c>
      <c r="B405" t="s">
        <v>25</v>
      </c>
      <c r="C405" t="s">
        <v>26</v>
      </c>
      <c r="D405">
        <v>-3200.22</v>
      </c>
      <c r="E405">
        <v>-2388.94</v>
      </c>
      <c r="F405">
        <v>-3200.22</v>
      </c>
      <c r="G405" t="s">
        <v>27</v>
      </c>
      <c r="H405">
        <v>1243810</v>
      </c>
      <c r="I405" t="s">
        <v>339</v>
      </c>
      <c r="J405" t="s">
        <v>29</v>
      </c>
      <c r="K405" t="s">
        <v>30</v>
      </c>
      <c r="M405" s="1">
        <v>45658</v>
      </c>
      <c r="O405" s="2">
        <v>3.0515046296296297E-2</v>
      </c>
      <c r="P405" t="s">
        <v>31</v>
      </c>
      <c r="Q405" s="2">
        <v>3.0515046296296297E-2</v>
      </c>
      <c r="T405" t="s">
        <v>737</v>
      </c>
      <c r="V405" s="2">
        <v>3.0679398148148147E-2</v>
      </c>
      <c r="W405" t="s">
        <v>32</v>
      </c>
      <c r="X405" t="s">
        <v>30</v>
      </c>
    </row>
    <row r="406" spans="1:24" x14ac:dyDescent="0.3">
      <c r="A406" t="s">
        <v>738</v>
      </c>
      <c r="B406" t="s">
        <v>25</v>
      </c>
      <c r="C406" t="s">
        <v>26</v>
      </c>
      <c r="D406">
        <v>-1393.51</v>
      </c>
      <c r="E406">
        <v>-1011.7</v>
      </c>
      <c r="F406">
        <v>-1393.51</v>
      </c>
      <c r="G406" t="s">
        <v>27</v>
      </c>
      <c r="H406">
        <v>1243810</v>
      </c>
      <c r="I406" t="s">
        <v>339</v>
      </c>
      <c r="J406" t="s">
        <v>29</v>
      </c>
      <c r="K406" t="s">
        <v>30</v>
      </c>
      <c r="M406" s="1">
        <v>45658</v>
      </c>
      <c r="O406" s="2">
        <v>3.0515046296296297E-2</v>
      </c>
      <c r="P406" t="s">
        <v>31</v>
      </c>
      <c r="Q406" s="2">
        <v>3.0515046296296297E-2</v>
      </c>
      <c r="T406" t="s">
        <v>649</v>
      </c>
      <c r="V406" s="2">
        <v>3.0679398148148147E-2</v>
      </c>
      <c r="W406" t="s">
        <v>32</v>
      </c>
      <c r="X406" t="s">
        <v>30</v>
      </c>
    </row>
    <row r="407" spans="1:24" x14ac:dyDescent="0.3">
      <c r="A407" t="s">
        <v>739</v>
      </c>
      <c r="B407" t="s">
        <v>25</v>
      </c>
      <c r="C407" t="s">
        <v>26</v>
      </c>
      <c r="D407">
        <v>25.92</v>
      </c>
      <c r="E407">
        <v>7.18</v>
      </c>
      <c r="F407">
        <v>25.92</v>
      </c>
      <c r="G407" t="s">
        <v>27</v>
      </c>
      <c r="H407">
        <v>1243810</v>
      </c>
      <c r="I407" t="s">
        <v>339</v>
      </c>
      <c r="J407" t="s">
        <v>29</v>
      </c>
      <c r="K407" t="s">
        <v>30</v>
      </c>
      <c r="M407" s="1">
        <v>45658</v>
      </c>
      <c r="O407" s="2">
        <v>3.0515046296296297E-2</v>
      </c>
      <c r="P407" t="s">
        <v>31</v>
      </c>
      <c r="Q407" s="2">
        <v>3.0515046296296297E-2</v>
      </c>
      <c r="T407" t="s">
        <v>651</v>
      </c>
      <c r="V407" s="2">
        <v>3.0679398148148147E-2</v>
      </c>
      <c r="W407" t="s">
        <v>32</v>
      </c>
      <c r="X407" t="s">
        <v>30</v>
      </c>
    </row>
    <row r="408" spans="1:24" x14ac:dyDescent="0.3">
      <c r="A408" t="s">
        <v>740</v>
      </c>
      <c r="B408" t="s">
        <v>25</v>
      </c>
      <c r="C408" t="s">
        <v>26</v>
      </c>
      <c r="D408">
        <v>269.39999999999998</v>
      </c>
      <c r="E408">
        <v>201.1</v>
      </c>
      <c r="F408">
        <v>269.39999999999998</v>
      </c>
      <c r="G408" t="s">
        <v>27</v>
      </c>
      <c r="H408">
        <v>1243810</v>
      </c>
      <c r="I408" t="s">
        <v>339</v>
      </c>
      <c r="J408" t="s">
        <v>29</v>
      </c>
      <c r="K408" t="s">
        <v>30</v>
      </c>
      <c r="M408" s="1">
        <v>45658</v>
      </c>
      <c r="O408" s="2">
        <v>3.0515046296296297E-2</v>
      </c>
      <c r="P408" t="s">
        <v>31</v>
      </c>
      <c r="Q408" s="2">
        <v>3.0515046296296297E-2</v>
      </c>
      <c r="T408" t="s">
        <v>653</v>
      </c>
      <c r="V408" s="2">
        <v>3.0679398148148147E-2</v>
      </c>
      <c r="W408" t="s">
        <v>32</v>
      </c>
      <c r="X408" t="s">
        <v>30</v>
      </c>
    </row>
    <row r="409" spans="1:24" x14ac:dyDescent="0.3">
      <c r="A409" t="s">
        <v>741</v>
      </c>
      <c r="B409" t="s">
        <v>25</v>
      </c>
      <c r="C409" t="s">
        <v>26</v>
      </c>
      <c r="D409">
        <v>-540.67999999999995</v>
      </c>
      <c r="E409">
        <v>-383.82</v>
      </c>
      <c r="F409">
        <v>-540.67999999999995</v>
      </c>
      <c r="G409" t="s">
        <v>27</v>
      </c>
      <c r="H409">
        <v>1243810</v>
      </c>
      <c r="I409" t="s">
        <v>339</v>
      </c>
      <c r="J409" t="s">
        <v>29</v>
      </c>
      <c r="K409" t="s">
        <v>30</v>
      </c>
      <c r="M409" s="1">
        <v>45658</v>
      </c>
      <c r="O409" s="2">
        <v>3.0515046296296297E-2</v>
      </c>
      <c r="P409" t="s">
        <v>31</v>
      </c>
      <c r="Q409" s="2">
        <v>3.0515046296296297E-2</v>
      </c>
      <c r="T409" t="s">
        <v>655</v>
      </c>
      <c r="V409" s="2">
        <v>3.0679398148148147E-2</v>
      </c>
      <c r="W409" t="s">
        <v>32</v>
      </c>
      <c r="X409" t="s">
        <v>30</v>
      </c>
    </row>
    <row r="410" spans="1:24" x14ac:dyDescent="0.3">
      <c r="A410" t="s">
        <v>742</v>
      </c>
      <c r="B410" t="s">
        <v>25</v>
      </c>
      <c r="C410" t="s">
        <v>26</v>
      </c>
      <c r="D410">
        <v>-668.75</v>
      </c>
      <c r="E410">
        <v>-489.89</v>
      </c>
      <c r="F410">
        <v>-668.75</v>
      </c>
      <c r="G410" t="s">
        <v>27</v>
      </c>
      <c r="H410">
        <v>1243810</v>
      </c>
      <c r="I410" t="s">
        <v>339</v>
      </c>
      <c r="J410" t="s">
        <v>29</v>
      </c>
      <c r="K410" t="s">
        <v>30</v>
      </c>
      <c r="M410" s="1">
        <v>45658</v>
      </c>
      <c r="O410" s="2">
        <v>3.0515046296296297E-2</v>
      </c>
      <c r="P410" t="s">
        <v>31</v>
      </c>
      <c r="Q410" s="2">
        <v>3.0515046296296297E-2</v>
      </c>
      <c r="T410" t="s">
        <v>657</v>
      </c>
      <c r="V410" s="2">
        <v>3.0679398148148147E-2</v>
      </c>
      <c r="W410" t="s">
        <v>32</v>
      </c>
      <c r="X410" t="s">
        <v>30</v>
      </c>
    </row>
    <row r="411" spans="1:24" x14ac:dyDescent="0.3">
      <c r="A411" t="s">
        <v>743</v>
      </c>
      <c r="B411" t="s">
        <v>25</v>
      </c>
      <c r="C411" t="s">
        <v>26</v>
      </c>
      <c r="D411">
        <v>1185.56</v>
      </c>
      <c r="E411">
        <v>866.71</v>
      </c>
      <c r="F411">
        <v>1185.56</v>
      </c>
      <c r="G411" t="s">
        <v>27</v>
      </c>
      <c r="H411">
        <v>1243810</v>
      </c>
      <c r="I411" t="s">
        <v>339</v>
      </c>
      <c r="J411" t="s">
        <v>29</v>
      </c>
      <c r="K411" t="s">
        <v>30</v>
      </c>
      <c r="M411" s="1">
        <v>45658</v>
      </c>
      <c r="O411" s="2">
        <v>3.0515046296296297E-2</v>
      </c>
      <c r="P411" t="s">
        <v>31</v>
      </c>
      <c r="Q411" s="2">
        <v>3.0515046296296297E-2</v>
      </c>
      <c r="T411" t="s">
        <v>744</v>
      </c>
      <c r="V411" s="2">
        <v>3.0679398148148147E-2</v>
      </c>
      <c r="W411" t="s">
        <v>32</v>
      </c>
      <c r="X411" t="s">
        <v>30</v>
      </c>
    </row>
    <row r="412" spans="1:24" x14ac:dyDescent="0.3">
      <c r="A412" t="s">
        <v>745</v>
      </c>
      <c r="B412" t="s">
        <v>25</v>
      </c>
      <c r="C412" t="s">
        <v>26</v>
      </c>
      <c r="D412">
        <v>11695.5</v>
      </c>
      <c r="E412">
        <v>8730.59</v>
      </c>
      <c r="F412">
        <v>11695.5</v>
      </c>
      <c r="G412" t="s">
        <v>27</v>
      </c>
      <c r="H412">
        <v>1243810</v>
      </c>
      <c r="I412" t="s">
        <v>339</v>
      </c>
      <c r="J412" t="s">
        <v>29</v>
      </c>
      <c r="K412" t="s">
        <v>30</v>
      </c>
      <c r="M412" s="1">
        <v>45658</v>
      </c>
      <c r="O412" s="2">
        <v>3.0515046296296297E-2</v>
      </c>
      <c r="P412" t="s">
        <v>31</v>
      </c>
      <c r="Q412" s="2">
        <v>3.0515046296296297E-2</v>
      </c>
      <c r="T412" t="s">
        <v>746</v>
      </c>
      <c r="V412" s="2">
        <v>3.0679398148148147E-2</v>
      </c>
      <c r="W412" t="s">
        <v>32</v>
      </c>
      <c r="X412" t="s">
        <v>30</v>
      </c>
    </row>
    <row r="413" spans="1:24" x14ac:dyDescent="0.3">
      <c r="A413" t="s">
        <v>747</v>
      </c>
      <c r="B413" t="s">
        <v>25</v>
      </c>
      <c r="C413" t="s">
        <v>26</v>
      </c>
      <c r="D413">
        <v>-42762.080000000002</v>
      </c>
      <c r="E413">
        <v>-31484.38</v>
      </c>
      <c r="F413">
        <v>-42762.080000000002</v>
      </c>
      <c r="G413" t="s">
        <v>748</v>
      </c>
      <c r="H413">
        <v>3123706</v>
      </c>
      <c r="I413" t="s">
        <v>127</v>
      </c>
      <c r="J413" t="s">
        <v>29</v>
      </c>
      <c r="K413" t="s">
        <v>30</v>
      </c>
      <c r="M413" s="1">
        <v>45658</v>
      </c>
      <c r="O413" s="2">
        <v>3.0515046296296297E-2</v>
      </c>
      <c r="P413" t="s">
        <v>31</v>
      </c>
      <c r="Q413" s="2">
        <v>3.0515046296296297E-2</v>
      </c>
      <c r="T413" t="s">
        <v>663</v>
      </c>
      <c r="V413" s="2">
        <v>3.0679398148148147E-2</v>
      </c>
      <c r="W413" t="s">
        <v>32</v>
      </c>
      <c r="X413" t="s">
        <v>30</v>
      </c>
    </row>
    <row r="414" spans="1:24" x14ac:dyDescent="0.3">
      <c r="A414" t="s">
        <v>749</v>
      </c>
      <c r="B414" t="s">
        <v>25</v>
      </c>
      <c r="C414" t="s">
        <v>26</v>
      </c>
      <c r="D414">
        <v>16075.75</v>
      </c>
      <c r="E414">
        <v>11836.07</v>
      </c>
      <c r="F414">
        <v>16075.75</v>
      </c>
      <c r="G414" t="s">
        <v>38</v>
      </c>
      <c r="H414">
        <v>1240001</v>
      </c>
      <c r="I414" t="s">
        <v>123</v>
      </c>
      <c r="J414" t="s">
        <v>29</v>
      </c>
      <c r="K414" t="s">
        <v>30</v>
      </c>
      <c r="M414" s="1">
        <v>45658</v>
      </c>
      <c r="O414" s="2">
        <v>3.0515046296296297E-2</v>
      </c>
      <c r="P414" t="s">
        <v>31</v>
      </c>
      <c r="Q414" s="2">
        <v>3.0515046296296297E-2</v>
      </c>
      <c r="T414" t="s">
        <v>482</v>
      </c>
      <c r="V414" s="2">
        <v>3.0679398148148147E-2</v>
      </c>
      <c r="W414" t="s">
        <v>32</v>
      </c>
      <c r="X414" t="s">
        <v>30</v>
      </c>
    </row>
    <row r="415" spans="1:24" x14ac:dyDescent="0.3">
      <c r="A415" t="s">
        <v>750</v>
      </c>
      <c r="B415" t="s">
        <v>25</v>
      </c>
      <c r="C415" t="s">
        <v>26</v>
      </c>
      <c r="D415">
        <v>-1200.1600000000001</v>
      </c>
      <c r="E415">
        <v>-864.55</v>
      </c>
      <c r="F415">
        <v>-1200.1600000000001</v>
      </c>
      <c r="G415" t="s">
        <v>27</v>
      </c>
      <c r="H415">
        <v>1243810</v>
      </c>
      <c r="I415" t="s">
        <v>339</v>
      </c>
      <c r="J415" t="s">
        <v>29</v>
      </c>
      <c r="K415" t="s">
        <v>30</v>
      </c>
      <c r="M415" s="1">
        <v>45658</v>
      </c>
      <c r="O415" s="2">
        <v>3.0515046296296297E-2</v>
      </c>
      <c r="P415" t="s">
        <v>31</v>
      </c>
      <c r="Q415" s="2">
        <v>3.0515046296296297E-2</v>
      </c>
      <c r="T415" t="s">
        <v>682</v>
      </c>
      <c r="V415" s="2">
        <v>3.0679398148148147E-2</v>
      </c>
      <c r="W415" t="s">
        <v>32</v>
      </c>
      <c r="X415" t="s">
        <v>30</v>
      </c>
    </row>
    <row r="416" spans="1:24" x14ac:dyDescent="0.3">
      <c r="A416" t="s">
        <v>751</v>
      </c>
      <c r="B416" t="s">
        <v>25</v>
      </c>
      <c r="C416" t="s">
        <v>26</v>
      </c>
      <c r="D416">
        <v>-3170.91</v>
      </c>
      <c r="E416">
        <v>-2367.06</v>
      </c>
      <c r="F416">
        <v>-3170.91</v>
      </c>
      <c r="G416" t="s">
        <v>27</v>
      </c>
      <c r="H416">
        <v>1243810</v>
      </c>
      <c r="I416" t="s">
        <v>339</v>
      </c>
      <c r="J416" t="s">
        <v>29</v>
      </c>
      <c r="K416" t="s">
        <v>30</v>
      </c>
      <c r="M416" s="1">
        <v>45658</v>
      </c>
      <c r="O416" s="2">
        <v>3.0515046296296297E-2</v>
      </c>
      <c r="P416" t="s">
        <v>31</v>
      </c>
      <c r="Q416" s="2">
        <v>3.0515046296296297E-2</v>
      </c>
      <c r="T416" t="s">
        <v>752</v>
      </c>
      <c r="V416" s="2">
        <v>3.0679398148148147E-2</v>
      </c>
      <c r="W416" t="s">
        <v>32</v>
      </c>
      <c r="X416" t="s">
        <v>30</v>
      </c>
    </row>
    <row r="417" spans="1:24" x14ac:dyDescent="0.3">
      <c r="A417" t="s">
        <v>753</v>
      </c>
      <c r="B417" t="s">
        <v>25</v>
      </c>
      <c r="C417" t="s">
        <v>26</v>
      </c>
      <c r="D417">
        <v>-81.25</v>
      </c>
      <c r="E417">
        <v>-60.65</v>
      </c>
      <c r="F417">
        <v>-81.25</v>
      </c>
      <c r="G417" t="s">
        <v>27</v>
      </c>
      <c r="H417">
        <v>1243810</v>
      </c>
      <c r="I417" t="s">
        <v>339</v>
      </c>
      <c r="J417" t="s">
        <v>29</v>
      </c>
      <c r="K417" t="s">
        <v>30</v>
      </c>
      <c r="M417" s="1">
        <v>45658</v>
      </c>
      <c r="O417" s="2">
        <v>3.0515046296296297E-2</v>
      </c>
      <c r="P417" t="s">
        <v>31</v>
      </c>
      <c r="Q417" s="2">
        <v>3.0515046296296297E-2</v>
      </c>
      <c r="T417" t="s">
        <v>754</v>
      </c>
      <c r="V417" s="2">
        <v>3.0679398148148147E-2</v>
      </c>
      <c r="W417" t="s">
        <v>32</v>
      </c>
      <c r="X417" t="s">
        <v>30</v>
      </c>
    </row>
    <row r="418" spans="1:24" x14ac:dyDescent="0.3">
      <c r="A418" t="s">
        <v>755</v>
      </c>
      <c r="B418" t="s">
        <v>25</v>
      </c>
      <c r="C418" t="s">
        <v>26</v>
      </c>
      <c r="D418">
        <v>24.78</v>
      </c>
      <c r="E418">
        <v>18.5</v>
      </c>
      <c r="F418">
        <v>24.78</v>
      </c>
      <c r="G418" t="s">
        <v>27</v>
      </c>
      <c r="H418">
        <v>1243810</v>
      </c>
      <c r="I418" t="s">
        <v>339</v>
      </c>
      <c r="J418" t="s">
        <v>29</v>
      </c>
      <c r="K418" t="s">
        <v>30</v>
      </c>
      <c r="M418" s="1">
        <v>45658</v>
      </c>
      <c r="O418" s="2">
        <v>3.0515046296296297E-2</v>
      </c>
      <c r="P418" t="s">
        <v>31</v>
      </c>
      <c r="Q418" s="2">
        <v>3.0515046296296297E-2</v>
      </c>
      <c r="T418" t="s">
        <v>756</v>
      </c>
      <c r="V418" s="2">
        <v>3.0679398148148147E-2</v>
      </c>
      <c r="W418" t="s">
        <v>32</v>
      </c>
      <c r="X418" t="s">
        <v>30</v>
      </c>
    </row>
    <row r="419" spans="1:24" x14ac:dyDescent="0.3">
      <c r="A419" t="s">
        <v>757</v>
      </c>
      <c r="B419" t="s">
        <v>25</v>
      </c>
      <c r="C419" t="s">
        <v>26</v>
      </c>
      <c r="D419">
        <v>34.24</v>
      </c>
      <c r="E419">
        <v>25.56</v>
      </c>
      <c r="F419">
        <v>34.24</v>
      </c>
      <c r="G419" t="s">
        <v>27</v>
      </c>
      <c r="H419">
        <v>1243810</v>
      </c>
      <c r="I419" t="s">
        <v>339</v>
      </c>
      <c r="J419" t="s">
        <v>29</v>
      </c>
      <c r="K419" t="s">
        <v>30</v>
      </c>
      <c r="M419" s="1">
        <v>45658</v>
      </c>
      <c r="O419" s="2">
        <v>3.0515046296296297E-2</v>
      </c>
      <c r="P419" t="s">
        <v>31</v>
      </c>
      <c r="Q419" s="2">
        <v>3.0515046296296297E-2</v>
      </c>
      <c r="T419" t="s">
        <v>758</v>
      </c>
      <c r="V419" s="2">
        <v>3.0679398148148147E-2</v>
      </c>
      <c r="W419" t="s">
        <v>32</v>
      </c>
      <c r="X419" t="s">
        <v>30</v>
      </c>
    </row>
    <row r="420" spans="1:24" x14ac:dyDescent="0.3">
      <c r="A420" t="s">
        <v>759</v>
      </c>
      <c r="B420" t="s">
        <v>366</v>
      </c>
      <c r="C420" t="s">
        <v>26</v>
      </c>
      <c r="D420">
        <v>-263599.90000000002</v>
      </c>
      <c r="E420">
        <v>-197600.04</v>
      </c>
      <c r="F420">
        <v>-263599.90000000002</v>
      </c>
      <c r="H420">
        <v>3302000</v>
      </c>
      <c r="I420" t="s">
        <v>279</v>
      </c>
      <c r="J420" t="s">
        <v>29</v>
      </c>
      <c r="K420" t="s">
        <v>30</v>
      </c>
      <c r="M420" s="1">
        <v>45658</v>
      </c>
      <c r="O420" s="2">
        <v>3.0515046296296297E-2</v>
      </c>
      <c r="P420" t="s">
        <v>31</v>
      </c>
      <c r="Q420" s="2">
        <v>3.0515046296296297E-2</v>
      </c>
      <c r="T420" t="s">
        <v>520</v>
      </c>
      <c r="V420" s="2">
        <v>3.0679398148148147E-2</v>
      </c>
      <c r="W420" t="s">
        <v>32</v>
      </c>
      <c r="X420" t="s">
        <v>368</v>
      </c>
    </row>
    <row r="421" spans="1:24" x14ac:dyDescent="0.3">
      <c r="A421" t="s">
        <v>760</v>
      </c>
      <c r="B421" t="s">
        <v>366</v>
      </c>
      <c r="C421" t="s">
        <v>26</v>
      </c>
      <c r="D421">
        <v>-20762.86</v>
      </c>
      <c r="E421">
        <v>-15462.36</v>
      </c>
      <c r="F421">
        <v>-20762.86</v>
      </c>
      <c r="H421">
        <v>3302000</v>
      </c>
      <c r="I421" t="s">
        <v>279</v>
      </c>
      <c r="J421" t="s">
        <v>29</v>
      </c>
      <c r="K421" t="s">
        <v>30</v>
      </c>
      <c r="M421" s="1">
        <v>45658</v>
      </c>
      <c r="O421" s="2">
        <v>3.0515046296296297E-2</v>
      </c>
      <c r="P421" t="s">
        <v>31</v>
      </c>
      <c r="Q421" s="2">
        <v>3.0515046296296297E-2</v>
      </c>
      <c r="T421" t="s">
        <v>761</v>
      </c>
      <c r="V421" s="2">
        <v>3.0679398148148147E-2</v>
      </c>
      <c r="W421" t="s">
        <v>32</v>
      </c>
      <c r="X421" t="s">
        <v>368</v>
      </c>
    </row>
    <row r="422" spans="1:24" x14ac:dyDescent="0.3">
      <c r="A422" t="s">
        <v>762</v>
      </c>
      <c r="B422" t="s">
        <v>366</v>
      </c>
      <c r="C422" t="s">
        <v>26</v>
      </c>
      <c r="D422">
        <v>-178067.22</v>
      </c>
      <c r="E422">
        <v>-133446.66</v>
      </c>
      <c r="F422">
        <v>-178067.22</v>
      </c>
      <c r="H422">
        <v>3302000</v>
      </c>
      <c r="I422" t="s">
        <v>279</v>
      </c>
      <c r="J422" t="s">
        <v>29</v>
      </c>
      <c r="K422" t="s">
        <v>30</v>
      </c>
      <c r="M422" s="1">
        <v>45658</v>
      </c>
      <c r="O422" s="2">
        <v>3.0515046296296297E-2</v>
      </c>
      <c r="P422" t="s">
        <v>31</v>
      </c>
      <c r="Q422" s="2">
        <v>3.0515046296296297E-2</v>
      </c>
      <c r="T422" t="s">
        <v>526</v>
      </c>
      <c r="V422" s="2">
        <v>3.0679398148148147E-2</v>
      </c>
      <c r="W422" t="s">
        <v>32</v>
      </c>
      <c r="X422" t="s">
        <v>368</v>
      </c>
    </row>
    <row r="423" spans="1:24" x14ac:dyDescent="0.3">
      <c r="A423" t="s">
        <v>763</v>
      </c>
      <c r="B423" t="s">
        <v>366</v>
      </c>
      <c r="C423" t="s">
        <v>26</v>
      </c>
      <c r="D423">
        <v>-81507.83</v>
      </c>
      <c r="E423">
        <v>-60851.44</v>
      </c>
      <c r="F423">
        <v>-81507.83</v>
      </c>
      <c r="H423">
        <v>3302000</v>
      </c>
      <c r="I423" t="s">
        <v>279</v>
      </c>
      <c r="J423" t="s">
        <v>29</v>
      </c>
      <c r="K423" t="s">
        <v>30</v>
      </c>
      <c r="M423" s="1">
        <v>45658</v>
      </c>
      <c r="O423" s="2">
        <v>3.0515046296296297E-2</v>
      </c>
      <c r="P423" t="s">
        <v>31</v>
      </c>
      <c r="Q423" s="2">
        <v>3.0515046296296297E-2</v>
      </c>
      <c r="T423" t="s">
        <v>528</v>
      </c>
      <c r="V423" s="2">
        <v>3.0679398148148147E-2</v>
      </c>
      <c r="W423" t="s">
        <v>32</v>
      </c>
      <c r="X423" t="s">
        <v>368</v>
      </c>
    </row>
    <row r="424" spans="1:24" x14ac:dyDescent="0.3">
      <c r="A424" t="s">
        <v>764</v>
      </c>
      <c r="B424" t="s">
        <v>366</v>
      </c>
      <c r="C424" t="s">
        <v>26</v>
      </c>
      <c r="D424">
        <v>204.19</v>
      </c>
      <c r="E424">
        <v>0</v>
      </c>
      <c r="F424">
        <v>204.19</v>
      </c>
      <c r="H424">
        <v>3302000</v>
      </c>
      <c r="I424" t="s">
        <v>279</v>
      </c>
      <c r="J424" t="s">
        <v>29</v>
      </c>
      <c r="K424" t="s">
        <v>30</v>
      </c>
      <c r="M424" s="1">
        <v>45658</v>
      </c>
      <c r="O424" s="2">
        <v>3.0515046296296297E-2</v>
      </c>
      <c r="P424" t="s">
        <v>31</v>
      </c>
      <c r="Q424" s="2">
        <v>3.0515046296296297E-2</v>
      </c>
      <c r="T424" t="s">
        <v>765</v>
      </c>
      <c r="V424" s="2">
        <v>3.0679398148148147E-2</v>
      </c>
      <c r="W424" t="s">
        <v>32</v>
      </c>
      <c r="X424" t="s">
        <v>368</v>
      </c>
    </row>
    <row r="425" spans="1:24" x14ac:dyDescent="0.3">
      <c r="A425" t="s">
        <v>766</v>
      </c>
      <c r="B425" t="s">
        <v>366</v>
      </c>
      <c r="C425" t="s">
        <v>26</v>
      </c>
      <c r="D425">
        <v>-3469.02</v>
      </c>
      <c r="E425">
        <v>-2550</v>
      </c>
      <c r="F425">
        <v>-3469.02</v>
      </c>
      <c r="H425">
        <v>3302000</v>
      </c>
      <c r="I425" t="s">
        <v>279</v>
      </c>
      <c r="J425" t="s">
        <v>29</v>
      </c>
      <c r="K425" t="s">
        <v>30</v>
      </c>
      <c r="M425" s="1">
        <v>45658</v>
      </c>
      <c r="O425" s="2">
        <v>3.0515046296296297E-2</v>
      </c>
      <c r="P425" t="s">
        <v>31</v>
      </c>
      <c r="Q425" s="2">
        <v>3.0515046296296297E-2</v>
      </c>
      <c r="T425" t="s">
        <v>767</v>
      </c>
      <c r="V425" s="2">
        <v>3.0679398148148147E-2</v>
      </c>
      <c r="W425" t="s">
        <v>32</v>
      </c>
      <c r="X425" t="s">
        <v>368</v>
      </c>
    </row>
    <row r="426" spans="1:24" x14ac:dyDescent="0.3">
      <c r="A426" t="s">
        <v>768</v>
      </c>
      <c r="B426" t="s">
        <v>366</v>
      </c>
      <c r="C426" t="s">
        <v>26</v>
      </c>
      <c r="D426">
        <v>-70897.009999999995</v>
      </c>
      <c r="E426">
        <v>-52710</v>
      </c>
      <c r="F426">
        <v>-70897.009999999995</v>
      </c>
      <c r="H426">
        <v>3302000</v>
      </c>
      <c r="I426" t="s">
        <v>279</v>
      </c>
      <c r="J426" t="s">
        <v>29</v>
      </c>
      <c r="K426" t="s">
        <v>30</v>
      </c>
      <c r="M426" s="1">
        <v>45658</v>
      </c>
      <c r="O426" s="2">
        <v>3.0515046296296297E-2</v>
      </c>
      <c r="P426" t="s">
        <v>31</v>
      </c>
      <c r="Q426" s="2">
        <v>3.0515046296296297E-2</v>
      </c>
      <c r="T426" t="s">
        <v>548</v>
      </c>
      <c r="V426" s="2">
        <v>3.0679398148148147E-2</v>
      </c>
      <c r="W426" t="s">
        <v>32</v>
      </c>
      <c r="X426" t="s">
        <v>368</v>
      </c>
    </row>
    <row r="427" spans="1:24" x14ac:dyDescent="0.3">
      <c r="A427" t="s">
        <v>769</v>
      </c>
      <c r="B427" t="s">
        <v>366</v>
      </c>
      <c r="C427" t="s">
        <v>26</v>
      </c>
      <c r="D427">
        <v>-157634.20000000001</v>
      </c>
      <c r="E427">
        <v>-118120.08</v>
      </c>
      <c r="F427">
        <v>-157634.20000000001</v>
      </c>
      <c r="H427">
        <v>3302000</v>
      </c>
      <c r="I427" t="s">
        <v>279</v>
      </c>
      <c r="J427" t="s">
        <v>29</v>
      </c>
      <c r="K427" t="s">
        <v>30</v>
      </c>
      <c r="M427" s="1">
        <v>45658</v>
      </c>
      <c r="O427" s="2">
        <v>3.0515046296296297E-2</v>
      </c>
      <c r="P427" t="s">
        <v>31</v>
      </c>
      <c r="Q427" s="2">
        <v>3.0515046296296297E-2</v>
      </c>
      <c r="T427" t="s">
        <v>550</v>
      </c>
      <c r="V427" s="2">
        <v>3.0679398148148147E-2</v>
      </c>
      <c r="W427" t="s">
        <v>32</v>
      </c>
      <c r="X427" t="s">
        <v>368</v>
      </c>
    </row>
    <row r="428" spans="1:24" x14ac:dyDescent="0.3">
      <c r="A428" t="s">
        <v>770</v>
      </c>
      <c r="B428" t="s">
        <v>366</v>
      </c>
      <c r="C428" t="s">
        <v>26</v>
      </c>
      <c r="D428">
        <v>-147011.28</v>
      </c>
      <c r="E428">
        <v>-110160</v>
      </c>
      <c r="F428">
        <v>-147011.28</v>
      </c>
      <c r="H428">
        <v>3302000</v>
      </c>
      <c r="I428" t="s">
        <v>279</v>
      </c>
      <c r="J428" t="s">
        <v>29</v>
      </c>
      <c r="K428" t="s">
        <v>30</v>
      </c>
      <c r="M428" s="1">
        <v>45658</v>
      </c>
      <c r="O428" s="2">
        <v>3.0515046296296297E-2</v>
      </c>
      <c r="P428" t="s">
        <v>31</v>
      </c>
      <c r="Q428" s="2">
        <v>3.0515046296296297E-2</v>
      </c>
      <c r="T428" t="s">
        <v>556</v>
      </c>
      <c r="V428" s="2">
        <v>3.0679398148148147E-2</v>
      </c>
      <c r="W428" t="s">
        <v>32</v>
      </c>
      <c r="X428" t="s">
        <v>368</v>
      </c>
    </row>
    <row r="429" spans="1:24" x14ac:dyDescent="0.3">
      <c r="A429" t="s">
        <v>771</v>
      </c>
      <c r="B429" t="s">
        <v>366</v>
      </c>
      <c r="C429" t="s">
        <v>26</v>
      </c>
      <c r="D429">
        <v>-111394.05</v>
      </c>
      <c r="E429">
        <v>-84055.56</v>
      </c>
      <c r="F429">
        <v>-111394.05</v>
      </c>
      <c r="H429">
        <v>3302000</v>
      </c>
      <c r="I429" t="s">
        <v>279</v>
      </c>
      <c r="J429" t="s">
        <v>29</v>
      </c>
      <c r="K429" t="s">
        <v>30</v>
      </c>
      <c r="M429" s="1">
        <v>45658</v>
      </c>
      <c r="O429" s="2">
        <v>3.0515046296296297E-2</v>
      </c>
      <c r="P429" t="s">
        <v>31</v>
      </c>
      <c r="Q429" s="2">
        <v>3.0515046296296297E-2</v>
      </c>
      <c r="T429" t="s">
        <v>693</v>
      </c>
      <c r="V429" s="2">
        <v>3.0679398148148147E-2</v>
      </c>
      <c r="W429" t="s">
        <v>32</v>
      </c>
      <c r="X429" t="s">
        <v>368</v>
      </c>
    </row>
    <row r="430" spans="1:24" x14ac:dyDescent="0.3">
      <c r="A430" t="s">
        <v>772</v>
      </c>
      <c r="B430" t="s">
        <v>366</v>
      </c>
      <c r="C430" t="s">
        <v>26</v>
      </c>
      <c r="D430">
        <v>-60924.19</v>
      </c>
      <c r="E430">
        <v>-45884.42</v>
      </c>
      <c r="F430">
        <v>-60924.19</v>
      </c>
      <c r="H430">
        <v>3302000</v>
      </c>
      <c r="I430" t="s">
        <v>279</v>
      </c>
      <c r="J430" t="s">
        <v>29</v>
      </c>
      <c r="K430" t="s">
        <v>30</v>
      </c>
      <c r="M430" s="1">
        <v>45658</v>
      </c>
      <c r="O430" s="2">
        <v>3.0515046296296297E-2</v>
      </c>
      <c r="P430" t="s">
        <v>31</v>
      </c>
      <c r="Q430" s="2">
        <v>3.0515046296296297E-2</v>
      </c>
      <c r="T430" t="s">
        <v>773</v>
      </c>
      <c r="V430" s="2">
        <v>3.0679398148148147E-2</v>
      </c>
      <c r="W430" t="s">
        <v>32</v>
      </c>
      <c r="X430" t="s">
        <v>368</v>
      </c>
    </row>
    <row r="431" spans="1:24" x14ac:dyDescent="0.3">
      <c r="A431" t="s">
        <v>774</v>
      </c>
      <c r="B431" t="s">
        <v>366</v>
      </c>
      <c r="C431" t="s">
        <v>26</v>
      </c>
      <c r="D431">
        <v>-102824.65</v>
      </c>
      <c r="E431">
        <v>-76331.97</v>
      </c>
      <c r="F431">
        <v>-102824.65</v>
      </c>
      <c r="H431">
        <v>3302000</v>
      </c>
      <c r="I431" t="s">
        <v>279</v>
      </c>
      <c r="J431" t="s">
        <v>29</v>
      </c>
      <c r="K431" t="s">
        <v>30</v>
      </c>
      <c r="M431" s="1">
        <v>45658</v>
      </c>
      <c r="O431" s="2">
        <v>3.0515046296296297E-2</v>
      </c>
      <c r="P431" t="s">
        <v>31</v>
      </c>
      <c r="Q431" s="2">
        <v>3.0515046296296297E-2</v>
      </c>
      <c r="T431" t="s">
        <v>775</v>
      </c>
      <c r="V431" s="2">
        <v>3.0679398148148147E-2</v>
      </c>
      <c r="W431" t="s">
        <v>32</v>
      </c>
      <c r="X431" t="s">
        <v>368</v>
      </c>
    </row>
    <row r="432" spans="1:24" x14ac:dyDescent="0.3">
      <c r="A432" t="s">
        <v>776</v>
      </c>
      <c r="B432" t="s">
        <v>366</v>
      </c>
      <c r="C432" t="s">
        <v>26</v>
      </c>
      <c r="D432">
        <v>-120107.25</v>
      </c>
      <c r="E432">
        <v>-90000</v>
      </c>
      <c r="F432">
        <v>-120107.25</v>
      </c>
      <c r="H432">
        <v>3302000</v>
      </c>
      <c r="I432" t="s">
        <v>279</v>
      </c>
      <c r="J432" t="s">
        <v>29</v>
      </c>
      <c r="K432" t="s">
        <v>30</v>
      </c>
      <c r="M432" s="1">
        <v>45658</v>
      </c>
      <c r="O432" s="2">
        <v>3.0515046296296297E-2</v>
      </c>
      <c r="P432" t="s">
        <v>31</v>
      </c>
      <c r="Q432" s="2">
        <v>3.0515046296296297E-2</v>
      </c>
      <c r="T432" t="s">
        <v>687</v>
      </c>
      <c r="V432" s="2">
        <v>3.0679398148148147E-2</v>
      </c>
      <c r="W432" t="s">
        <v>32</v>
      </c>
      <c r="X432" t="s">
        <v>368</v>
      </c>
    </row>
    <row r="433" spans="1:24" x14ac:dyDescent="0.3">
      <c r="A433" t="s">
        <v>777</v>
      </c>
      <c r="B433" t="s">
        <v>366</v>
      </c>
      <c r="C433" t="s">
        <v>26</v>
      </c>
      <c r="D433">
        <v>-70240.63</v>
      </c>
      <c r="E433">
        <v>-52269.35</v>
      </c>
      <c r="F433">
        <v>-70240.63</v>
      </c>
      <c r="H433">
        <v>3302000</v>
      </c>
      <c r="I433" t="s">
        <v>279</v>
      </c>
      <c r="J433" t="s">
        <v>29</v>
      </c>
      <c r="K433" t="s">
        <v>30</v>
      </c>
      <c r="M433" s="1">
        <v>45658</v>
      </c>
      <c r="O433" s="2">
        <v>3.0515046296296297E-2</v>
      </c>
      <c r="P433" t="s">
        <v>31</v>
      </c>
      <c r="Q433" s="2">
        <v>3.0515046296296297E-2</v>
      </c>
      <c r="T433" t="s">
        <v>778</v>
      </c>
      <c r="V433" s="2">
        <v>3.0679398148148147E-2</v>
      </c>
      <c r="W433" t="s">
        <v>32</v>
      </c>
      <c r="X433" t="s">
        <v>368</v>
      </c>
    </row>
    <row r="434" spans="1:24" x14ac:dyDescent="0.3">
      <c r="A434" t="s">
        <v>779</v>
      </c>
      <c r="B434" t="s">
        <v>366</v>
      </c>
      <c r="C434" t="s">
        <v>26</v>
      </c>
      <c r="D434">
        <v>-138718.10999999999</v>
      </c>
      <c r="E434">
        <v>-103772.15</v>
      </c>
      <c r="F434">
        <v>-138718.10999999999</v>
      </c>
      <c r="H434">
        <v>3302000</v>
      </c>
      <c r="I434" t="s">
        <v>279</v>
      </c>
      <c r="J434" t="s">
        <v>29</v>
      </c>
      <c r="K434" t="s">
        <v>30</v>
      </c>
      <c r="M434" s="1">
        <v>45658</v>
      </c>
      <c r="O434" s="2">
        <v>3.0515046296296297E-2</v>
      </c>
      <c r="P434" t="s">
        <v>31</v>
      </c>
      <c r="Q434" s="2">
        <v>3.0515046296296297E-2</v>
      </c>
      <c r="T434" t="s">
        <v>780</v>
      </c>
      <c r="V434" s="2">
        <v>3.0679398148148147E-2</v>
      </c>
      <c r="W434" t="s">
        <v>32</v>
      </c>
      <c r="X434" t="s">
        <v>368</v>
      </c>
    </row>
    <row r="435" spans="1:24" x14ac:dyDescent="0.3">
      <c r="A435" t="s">
        <v>781</v>
      </c>
      <c r="B435" t="s">
        <v>366</v>
      </c>
      <c r="C435" t="s">
        <v>26</v>
      </c>
      <c r="D435">
        <v>-224632.1</v>
      </c>
      <c r="E435">
        <v>-168226.92</v>
      </c>
      <c r="F435">
        <v>-224632.1</v>
      </c>
      <c r="H435">
        <v>3302000</v>
      </c>
      <c r="I435" t="s">
        <v>279</v>
      </c>
      <c r="J435" t="s">
        <v>29</v>
      </c>
      <c r="K435" t="s">
        <v>30</v>
      </c>
      <c r="M435" s="1">
        <v>45658</v>
      </c>
      <c r="O435" s="2">
        <v>3.0515046296296297E-2</v>
      </c>
      <c r="P435" t="s">
        <v>31</v>
      </c>
      <c r="Q435" s="2">
        <v>3.0515046296296297E-2</v>
      </c>
      <c r="T435" t="s">
        <v>782</v>
      </c>
      <c r="V435" s="2">
        <v>3.0679398148148147E-2</v>
      </c>
      <c r="W435" t="s">
        <v>32</v>
      </c>
      <c r="X435" t="s">
        <v>368</v>
      </c>
    </row>
    <row r="436" spans="1:24" x14ac:dyDescent="0.3">
      <c r="A436" t="s">
        <v>783</v>
      </c>
      <c r="B436" t="s">
        <v>366</v>
      </c>
      <c r="C436" t="s">
        <v>26</v>
      </c>
      <c r="D436">
        <v>-132785.29</v>
      </c>
      <c r="E436">
        <v>-99500.04</v>
      </c>
      <c r="F436">
        <v>-132785.29</v>
      </c>
      <c r="H436">
        <v>3302000</v>
      </c>
      <c r="I436" t="s">
        <v>279</v>
      </c>
      <c r="J436" t="s">
        <v>29</v>
      </c>
      <c r="K436" t="s">
        <v>30</v>
      </c>
      <c r="M436" s="1">
        <v>45658</v>
      </c>
      <c r="O436" s="2">
        <v>3.0515046296296297E-2</v>
      </c>
      <c r="P436" t="s">
        <v>31</v>
      </c>
      <c r="Q436" s="2">
        <v>3.0515046296296297E-2</v>
      </c>
      <c r="T436" t="s">
        <v>784</v>
      </c>
      <c r="V436" s="2">
        <v>3.0679398148148147E-2</v>
      </c>
      <c r="W436" t="s">
        <v>32</v>
      </c>
      <c r="X436" t="s">
        <v>368</v>
      </c>
    </row>
    <row r="437" spans="1:24" x14ac:dyDescent="0.3">
      <c r="A437" t="s">
        <v>785</v>
      </c>
      <c r="B437" t="s">
        <v>366</v>
      </c>
      <c r="C437" t="s">
        <v>26</v>
      </c>
      <c r="D437">
        <v>-146189.1</v>
      </c>
      <c r="E437">
        <v>-109500</v>
      </c>
      <c r="F437">
        <v>-146189.1</v>
      </c>
      <c r="H437">
        <v>3302000</v>
      </c>
      <c r="I437" t="s">
        <v>279</v>
      </c>
      <c r="J437" t="s">
        <v>29</v>
      </c>
      <c r="K437" t="s">
        <v>30</v>
      </c>
      <c r="M437" s="1">
        <v>45658</v>
      </c>
      <c r="O437" s="2">
        <v>3.0515046296296297E-2</v>
      </c>
      <c r="P437" t="s">
        <v>31</v>
      </c>
      <c r="Q437" s="2">
        <v>3.0515046296296297E-2</v>
      </c>
      <c r="T437" t="s">
        <v>786</v>
      </c>
      <c r="V437" s="2">
        <v>3.0679398148148147E-2</v>
      </c>
      <c r="W437" t="s">
        <v>32</v>
      </c>
      <c r="X437" t="s">
        <v>368</v>
      </c>
    </row>
    <row r="438" spans="1:24" x14ac:dyDescent="0.3">
      <c r="A438" t="s">
        <v>787</v>
      </c>
      <c r="B438" t="s">
        <v>366</v>
      </c>
      <c r="C438" t="s">
        <v>26</v>
      </c>
      <c r="D438">
        <v>-144128.70000000001</v>
      </c>
      <c r="E438">
        <v>-108000</v>
      </c>
      <c r="F438">
        <v>-144128.70000000001</v>
      </c>
      <c r="H438">
        <v>3302000</v>
      </c>
      <c r="I438" t="s">
        <v>279</v>
      </c>
      <c r="J438" t="s">
        <v>29</v>
      </c>
      <c r="K438" t="s">
        <v>30</v>
      </c>
      <c r="M438" s="1">
        <v>45658</v>
      </c>
      <c r="O438" s="2">
        <v>3.0515046296296297E-2</v>
      </c>
      <c r="P438" t="s">
        <v>31</v>
      </c>
      <c r="Q438" s="2">
        <v>3.0515046296296297E-2</v>
      </c>
      <c r="T438" t="s">
        <v>788</v>
      </c>
      <c r="V438" s="2">
        <v>3.0679398148148147E-2</v>
      </c>
      <c r="W438" t="s">
        <v>32</v>
      </c>
      <c r="X438" t="s">
        <v>368</v>
      </c>
    </row>
    <row r="439" spans="1:24" x14ac:dyDescent="0.3">
      <c r="A439" t="s">
        <v>789</v>
      </c>
      <c r="B439" t="s">
        <v>366</v>
      </c>
      <c r="C439" t="s">
        <v>26</v>
      </c>
      <c r="D439">
        <v>-21544</v>
      </c>
      <c r="E439">
        <v>-16270.11</v>
      </c>
      <c r="F439">
        <v>-21544</v>
      </c>
      <c r="H439">
        <v>3302000</v>
      </c>
      <c r="I439" t="s">
        <v>279</v>
      </c>
      <c r="J439" t="s">
        <v>29</v>
      </c>
      <c r="K439" t="s">
        <v>30</v>
      </c>
      <c r="M439" s="1">
        <v>45658</v>
      </c>
      <c r="O439" s="2">
        <v>3.0515046296296297E-2</v>
      </c>
      <c r="P439" t="s">
        <v>31</v>
      </c>
      <c r="Q439" s="2">
        <v>3.0515046296296297E-2</v>
      </c>
      <c r="T439" t="s">
        <v>790</v>
      </c>
      <c r="V439" s="2">
        <v>3.0679398148148147E-2</v>
      </c>
      <c r="W439" t="s">
        <v>32</v>
      </c>
      <c r="X439" t="s">
        <v>368</v>
      </c>
    </row>
    <row r="440" spans="1:24" x14ac:dyDescent="0.3">
      <c r="A440" t="s">
        <v>791</v>
      </c>
      <c r="B440" t="s">
        <v>25</v>
      </c>
      <c r="C440" t="s">
        <v>26</v>
      </c>
      <c r="D440">
        <v>7838.16</v>
      </c>
      <c r="E440">
        <v>5827.71</v>
      </c>
      <c r="F440">
        <v>7838.16</v>
      </c>
      <c r="G440" t="s">
        <v>27</v>
      </c>
      <c r="H440">
        <v>1243810</v>
      </c>
      <c r="I440" t="s">
        <v>339</v>
      </c>
      <c r="J440" t="s">
        <v>29</v>
      </c>
      <c r="K440" t="s">
        <v>30</v>
      </c>
      <c r="M440" s="1">
        <v>45658</v>
      </c>
      <c r="O440" s="2">
        <v>3.0515046296296297E-2</v>
      </c>
      <c r="P440" t="s">
        <v>31</v>
      </c>
      <c r="Q440" s="2">
        <v>3.0515046296296297E-2</v>
      </c>
      <c r="T440" t="s">
        <v>778</v>
      </c>
      <c r="V440" s="2">
        <v>3.0679398148148147E-2</v>
      </c>
      <c r="W440" t="s">
        <v>32</v>
      </c>
      <c r="X440" t="s">
        <v>30</v>
      </c>
    </row>
    <row r="441" spans="1:24" x14ac:dyDescent="0.3">
      <c r="A441" t="s">
        <v>792</v>
      </c>
      <c r="B441" t="s">
        <v>25</v>
      </c>
      <c r="C441" t="s">
        <v>26</v>
      </c>
      <c r="D441">
        <v>1365.51</v>
      </c>
      <c r="E441">
        <v>1030.3399999999999</v>
      </c>
      <c r="F441">
        <v>1365.51</v>
      </c>
      <c r="G441" t="s">
        <v>27</v>
      </c>
      <c r="H441">
        <v>1243810</v>
      </c>
      <c r="I441" t="s">
        <v>339</v>
      </c>
      <c r="J441" t="s">
        <v>29</v>
      </c>
      <c r="K441" t="s">
        <v>30</v>
      </c>
      <c r="M441" s="1">
        <v>45658</v>
      </c>
      <c r="O441" s="2">
        <v>3.0515046296296297E-2</v>
      </c>
      <c r="P441" t="s">
        <v>31</v>
      </c>
      <c r="Q441" s="2">
        <v>3.0515046296296297E-2</v>
      </c>
      <c r="T441" t="s">
        <v>780</v>
      </c>
      <c r="V441" s="2">
        <v>3.0679398148148147E-2</v>
      </c>
      <c r="W441" t="s">
        <v>32</v>
      </c>
      <c r="X441" t="s">
        <v>30</v>
      </c>
    </row>
    <row r="442" spans="1:24" x14ac:dyDescent="0.3">
      <c r="A442" t="s">
        <v>793</v>
      </c>
      <c r="B442" t="s">
        <v>25</v>
      </c>
      <c r="C442" t="s">
        <v>26</v>
      </c>
      <c r="D442">
        <v>-1243.98</v>
      </c>
      <c r="E442">
        <v>-909.61</v>
      </c>
      <c r="F442">
        <v>-1243.98</v>
      </c>
      <c r="G442" t="s">
        <v>27</v>
      </c>
      <c r="H442">
        <v>1243810</v>
      </c>
      <c r="I442" t="s">
        <v>339</v>
      </c>
      <c r="J442" t="s">
        <v>29</v>
      </c>
      <c r="K442" t="s">
        <v>30</v>
      </c>
      <c r="M442" s="1">
        <v>45658</v>
      </c>
      <c r="O442" s="2">
        <v>3.0515046296296297E-2</v>
      </c>
      <c r="P442" t="s">
        <v>31</v>
      </c>
      <c r="Q442" s="2">
        <v>3.0515046296296297E-2</v>
      </c>
      <c r="T442" t="s">
        <v>782</v>
      </c>
      <c r="V442" s="2">
        <v>3.0679398148148147E-2</v>
      </c>
      <c r="W442" t="s">
        <v>32</v>
      </c>
      <c r="X442" t="s">
        <v>30</v>
      </c>
    </row>
    <row r="443" spans="1:24" x14ac:dyDescent="0.3">
      <c r="A443" t="s">
        <v>794</v>
      </c>
      <c r="B443" t="s">
        <v>25</v>
      </c>
      <c r="C443" t="s">
        <v>26</v>
      </c>
      <c r="D443">
        <v>718.67</v>
      </c>
      <c r="E443">
        <v>537</v>
      </c>
      <c r="F443">
        <v>718.67</v>
      </c>
      <c r="G443" t="s">
        <v>27</v>
      </c>
      <c r="H443">
        <v>1243810</v>
      </c>
      <c r="I443" t="s">
        <v>339</v>
      </c>
      <c r="J443" t="s">
        <v>29</v>
      </c>
      <c r="K443" t="s">
        <v>30</v>
      </c>
      <c r="M443" s="1">
        <v>45658</v>
      </c>
      <c r="O443" s="2">
        <v>3.0515046296296297E-2</v>
      </c>
      <c r="P443" t="s">
        <v>31</v>
      </c>
      <c r="Q443" s="2">
        <v>3.0515046296296297E-2</v>
      </c>
      <c r="T443" t="s">
        <v>790</v>
      </c>
      <c r="V443" s="2">
        <v>3.0679398148148147E-2</v>
      </c>
      <c r="W443" t="s">
        <v>32</v>
      </c>
      <c r="X443" t="s">
        <v>30</v>
      </c>
    </row>
    <row r="444" spans="1:24" x14ac:dyDescent="0.3">
      <c r="A444" t="s">
        <v>795</v>
      </c>
      <c r="B444" t="s">
        <v>25</v>
      </c>
      <c r="C444" t="s">
        <v>26</v>
      </c>
      <c r="D444">
        <v>16.989999999999998</v>
      </c>
      <c r="E444">
        <v>12.68</v>
      </c>
      <c r="F444">
        <v>16.989999999999998</v>
      </c>
      <c r="G444" t="s">
        <v>27</v>
      </c>
      <c r="H444">
        <v>1243810</v>
      </c>
      <c r="I444" t="s">
        <v>339</v>
      </c>
      <c r="J444" t="s">
        <v>29</v>
      </c>
      <c r="K444" t="s">
        <v>30</v>
      </c>
      <c r="M444" s="1">
        <v>45658</v>
      </c>
      <c r="O444" s="2">
        <v>3.0515046296296297E-2</v>
      </c>
      <c r="P444" t="s">
        <v>31</v>
      </c>
      <c r="Q444" s="2">
        <v>3.0515046296296297E-2</v>
      </c>
      <c r="T444" t="s">
        <v>796</v>
      </c>
      <c r="V444" s="2">
        <v>3.0679398148148147E-2</v>
      </c>
      <c r="W444" t="s">
        <v>32</v>
      </c>
      <c r="X444" t="s">
        <v>30</v>
      </c>
    </row>
    <row r="445" spans="1:24" x14ac:dyDescent="0.3">
      <c r="A445" t="s">
        <v>797</v>
      </c>
      <c r="B445" t="s">
        <v>25</v>
      </c>
      <c r="C445" t="s">
        <v>26</v>
      </c>
      <c r="D445">
        <v>-38197.96</v>
      </c>
      <c r="E445">
        <v>-28123.96</v>
      </c>
      <c r="F445">
        <v>-38197.96</v>
      </c>
      <c r="G445" t="s">
        <v>748</v>
      </c>
      <c r="H445">
        <v>3123706</v>
      </c>
      <c r="I445" t="s">
        <v>127</v>
      </c>
      <c r="J445" t="s">
        <v>29</v>
      </c>
      <c r="K445" t="s">
        <v>30</v>
      </c>
      <c r="M445" s="1">
        <v>45658</v>
      </c>
      <c r="O445" s="2">
        <v>3.0515046296296297E-2</v>
      </c>
      <c r="P445" t="s">
        <v>31</v>
      </c>
      <c r="Q445" s="2">
        <v>3.0515046296296297E-2</v>
      </c>
      <c r="T445" t="s">
        <v>775</v>
      </c>
      <c r="V445" s="2">
        <v>3.0679398148148147E-2</v>
      </c>
      <c r="W445" t="s">
        <v>32</v>
      </c>
      <c r="X445" t="s">
        <v>30</v>
      </c>
    </row>
    <row r="446" spans="1:24" x14ac:dyDescent="0.3">
      <c r="A446" t="s">
        <v>798</v>
      </c>
      <c r="B446" t="s">
        <v>25</v>
      </c>
      <c r="C446" t="s">
        <v>26</v>
      </c>
      <c r="D446">
        <v>56.37</v>
      </c>
      <c r="E446">
        <v>54.8</v>
      </c>
      <c r="F446">
        <v>56.37</v>
      </c>
      <c r="G446" t="s">
        <v>27</v>
      </c>
      <c r="H446">
        <v>1243810</v>
      </c>
      <c r="I446" t="s">
        <v>339</v>
      </c>
      <c r="J446" t="s">
        <v>29</v>
      </c>
      <c r="K446" t="s">
        <v>30</v>
      </c>
      <c r="M446" s="1">
        <v>45658</v>
      </c>
      <c r="O446" s="2">
        <v>3.0515046296296297E-2</v>
      </c>
      <c r="P446" t="s">
        <v>31</v>
      </c>
      <c r="Q446" s="2">
        <v>3.0515046296296297E-2</v>
      </c>
      <c r="T446" t="s">
        <v>452</v>
      </c>
      <c r="V446" s="2">
        <v>3.0679398148148147E-2</v>
      </c>
      <c r="W446" t="s">
        <v>32</v>
      </c>
      <c r="X446" t="s">
        <v>30</v>
      </c>
    </row>
    <row r="447" spans="1:24" x14ac:dyDescent="0.3">
      <c r="A447" t="s">
        <v>799</v>
      </c>
      <c r="B447" t="s">
        <v>25</v>
      </c>
      <c r="C447" t="s">
        <v>26</v>
      </c>
      <c r="D447">
        <v>-127.87</v>
      </c>
      <c r="E447">
        <v>-95.45</v>
      </c>
      <c r="F447">
        <v>-127.87</v>
      </c>
      <c r="G447" t="s">
        <v>27</v>
      </c>
      <c r="H447">
        <v>1243810</v>
      </c>
      <c r="I447" t="s">
        <v>339</v>
      </c>
      <c r="J447" t="s">
        <v>29</v>
      </c>
      <c r="K447" t="s">
        <v>30</v>
      </c>
      <c r="M447" s="1">
        <v>45658</v>
      </c>
      <c r="O447" s="2">
        <v>3.0515046296296297E-2</v>
      </c>
      <c r="P447" t="s">
        <v>31</v>
      </c>
      <c r="Q447" s="2">
        <v>3.0515046296296297E-2</v>
      </c>
      <c r="T447" t="s">
        <v>800</v>
      </c>
      <c r="V447" s="2">
        <v>3.0679398148148147E-2</v>
      </c>
      <c r="W447" t="s">
        <v>32</v>
      </c>
      <c r="X447" t="s">
        <v>30</v>
      </c>
    </row>
    <row r="448" spans="1:24" x14ac:dyDescent="0.3">
      <c r="A448" t="s">
        <v>801</v>
      </c>
      <c r="B448" t="s">
        <v>25</v>
      </c>
      <c r="C448" t="s">
        <v>26</v>
      </c>
      <c r="D448">
        <v>587.70000000000005</v>
      </c>
      <c r="E448">
        <v>438.71</v>
      </c>
      <c r="F448">
        <v>587.70000000000005</v>
      </c>
      <c r="G448" t="s">
        <v>27</v>
      </c>
      <c r="H448">
        <v>1243810</v>
      </c>
      <c r="I448" t="s">
        <v>339</v>
      </c>
      <c r="J448" t="s">
        <v>29</v>
      </c>
      <c r="K448" t="s">
        <v>30</v>
      </c>
      <c r="M448" s="1">
        <v>45658</v>
      </c>
      <c r="O448" s="2">
        <v>3.0515046296296297E-2</v>
      </c>
      <c r="P448" t="s">
        <v>31</v>
      </c>
      <c r="Q448" s="2">
        <v>3.0515046296296297E-2</v>
      </c>
      <c r="T448" t="s">
        <v>802</v>
      </c>
      <c r="V448" s="2">
        <v>3.0679398148148147E-2</v>
      </c>
      <c r="W448" t="s">
        <v>32</v>
      </c>
      <c r="X448" t="s">
        <v>30</v>
      </c>
    </row>
    <row r="449" spans="1:24" x14ac:dyDescent="0.3">
      <c r="A449" t="s">
        <v>803</v>
      </c>
      <c r="B449" t="s">
        <v>25</v>
      </c>
      <c r="C449" t="s">
        <v>26</v>
      </c>
      <c r="D449">
        <v>-1176.22</v>
      </c>
      <c r="E449">
        <v>-866.17</v>
      </c>
      <c r="F449">
        <v>-1176.22</v>
      </c>
      <c r="G449" t="s">
        <v>27</v>
      </c>
      <c r="H449">
        <v>1243810</v>
      </c>
      <c r="I449" t="s">
        <v>339</v>
      </c>
      <c r="J449" t="s">
        <v>29</v>
      </c>
      <c r="K449" t="s">
        <v>30</v>
      </c>
      <c r="M449" s="1">
        <v>45658</v>
      </c>
      <c r="O449" s="2">
        <v>3.0515046296296297E-2</v>
      </c>
      <c r="P449" t="s">
        <v>31</v>
      </c>
      <c r="Q449" s="2">
        <v>3.0515046296296297E-2</v>
      </c>
      <c r="T449" t="s">
        <v>804</v>
      </c>
      <c r="V449" s="2">
        <v>3.0679398148148147E-2</v>
      </c>
      <c r="W449" t="s">
        <v>32</v>
      </c>
      <c r="X449" t="s">
        <v>30</v>
      </c>
    </row>
    <row r="450" spans="1:24" x14ac:dyDescent="0.3">
      <c r="A450" t="s">
        <v>805</v>
      </c>
      <c r="B450" t="s">
        <v>25</v>
      </c>
      <c r="C450" t="s">
        <v>26</v>
      </c>
      <c r="D450">
        <v>-89.46</v>
      </c>
      <c r="E450">
        <v>-66.78</v>
      </c>
      <c r="F450">
        <v>-89.46</v>
      </c>
      <c r="G450" t="s">
        <v>27</v>
      </c>
      <c r="H450">
        <v>1243810</v>
      </c>
      <c r="I450" t="s">
        <v>339</v>
      </c>
      <c r="J450" t="s">
        <v>29</v>
      </c>
      <c r="K450" t="s">
        <v>30</v>
      </c>
      <c r="M450" s="1">
        <v>45658</v>
      </c>
      <c r="O450" s="2">
        <v>3.0515046296296297E-2</v>
      </c>
      <c r="P450" t="s">
        <v>31</v>
      </c>
      <c r="Q450" s="2">
        <v>3.0515046296296297E-2</v>
      </c>
      <c r="T450" t="s">
        <v>806</v>
      </c>
      <c r="V450" s="2">
        <v>3.0679398148148147E-2</v>
      </c>
      <c r="W450" t="s">
        <v>32</v>
      </c>
      <c r="X450" t="s">
        <v>30</v>
      </c>
    </row>
    <row r="451" spans="1:24" x14ac:dyDescent="0.3">
      <c r="A451" t="s">
        <v>807</v>
      </c>
      <c r="B451" t="s">
        <v>25</v>
      </c>
      <c r="C451" t="s">
        <v>26</v>
      </c>
      <c r="D451">
        <v>-1760.2</v>
      </c>
      <c r="E451">
        <v>-1313.97</v>
      </c>
      <c r="F451">
        <v>-1760.2</v>
      </c>
      <c r="G451" t="s">
        <v>27</v>
      </c>
      <c r="H451">
        <v>1243810</v>
      </c>
      <c r="I451" t="s">
        <v>339</v>
      </c>
      <c r="J451" t="s">
        <v>29</v>
      </c>
      <c r="K451" t="s">
        <v>30</v>
      </c>
      <c r="M451" s="1">
        <v>45658</v>
      </c>
      <c r="O451" s="2">
        <v>3.0515046296296297E-2</v>
      </c>
      <c r="P451" t="s">
        <v>31</v>
      </c>
      <c r="Q451" s="2">
        <v>3.0515046296296297E-2</v>
      </c>
      <c r="T451" t="s">
        <v>808</v>
      </c>
      <c r="V451" s="2">
        <v>3.0679398148148147E-2</v>
      </c>
      <c r="W451" t="s">
        <v>32</v>
      </c>
      <c r="X451" t="s">
        <v>30</v>
      </c>
    </row>
    <row r="452" spans="1:24" x14ac:dyDescent="0.3">
      <c r="A452" t="s">
        <v>809</v>
      </c>
      <c r="B452" t="s">
        <v>25</v>
      </c>
      <c r="C452" t="s">
        <v>26</v>
      </c>
      <c r="D452">
        <v>-22.33</v>
      </c>
      <c r="E452">
        <v>-16.61</v>
      </c>
      <c r="F452">
        <v>-22.33</v>
      </c>
      <c r="G452" t="s">
        <v>27</v>
      </c>
      <c r="H452">
        <v>1243810</v>
      </c>
      <c r="I452" t="s">
        <v>339</v>
      </c>
      <c r="J452" t="s">
        <v>29</v>
      </c>
      <c r="K452" t="s">
        <v>30</v>
      </c>
      <c r="M452" s="1">
        <v>45658</v>
      </c>
      <c r="O452" s="2">
        <v>3.0515046296296297E-2</v>
      </c>
      <c r="P452" t="s">
        <v>31</v>
      </c>
      <c r="Q452" s="2">
        <v>3.0515046296296297E-2</v>
      </c>
      <c r="T452" t="s">
        <v>810</v>
      </c>
      <c r="V452" s="2">
        <v>3.0679398148148147E-2</v>
      </c>
      <c r="W452" t="s">
        <v>32</v>
      </c>
      <c r="X452" t="s">
        <v>30</v>
      </c>
    </row>
    <row r="453" spans="1:24" x14ac:dyDescent="0.3">
      <c r="A453" t="s">
        <v>811</v>
      </c>
      <c r="B453" t="s">
        <v>25</v>
      </c>
      <c r="C453" t="s">
        <v>26</v>
      </c>
      <c r="D453">
        <v>-306.83</v>
      </c>
      <c r="E453">
        <v>-229.05</v>
      </c>
      <c r="F453">
        <v>-306.83</v>
      </c>
      <c r="G453" t="s">
        <v>27</v>
      </c>
      <c r="H453">
        <v>1243810</v>
      </c>
      <c r="I453" t="s">
        <v>339</v>
      </c>
      <c r="J453" t="s">
        <v>29</v>
      </c>
      <c r="K453" t="s">
        <v>30</v>
      </c>
      <c r="M453" s="1">
        <v>45658</v>
      </c>
      <c r="O453" s="2">
        <v>3.0515046296296297E-2</v>
      </c>
      <c r="P453" t="s">
        <v>31</v>
      </c>
      <c r="Q453" s="2">
        <v>3.0515046296296297E-2</v>
      </c>
      <c r="T453" t="s">
        <v>812</v>
      </c>
      <c r="V453" s="2">
        <v>3.0679398148148147E-2</v>
      </c>
      <c r="W453" t="s">
        <v>32</v>
      </c>
      <c r="X453" t="s">
        <v>30</v>
      </c>
    </row>
    <row r="454" spans="1:24" x14ac:dyDescent="0.3">
      <c r="A454" t="s">
        <v>813</v>
      </c>
      <c r="B454" t="s">
        <v>25</v>
      </c>
      <c r="C454" t="s">
        <v>26</v>
      </c>
      <c r="D454">
        <v>-3080.6</v>
      </c>
      <c r="E454">
        <v>-2299.64</v>
      </c>
      <c r="F454">
        <v>-3080.6</v>
      </c>
      <c r="G454" t="s">
        <v>27</v>
      </c>
      <c r="H454">
        <v>1243810</v>
      </c>
      <c r="I454" t="s">
        <v>339</v>
      </c>
      <c r="J454" t="s">
        <v>29</v>
      </c>
      <c r="K454" t="s">
        <v>30</v>
      </c>
      <c r="M454" s="1">
        <v>45658</v>
      </c>
      <c r="O454" s="2">
        <v>3.0515046296296297E-2</v>
      </c>
      <c r="P454" t="s">
        <v>31</v>
      </c>
      <c r="Q454" s="2">
        <v>3.0515046296296297E-2</v>
      </c>
      <c r="T454" t="s">
        <v>814</v>
      </c>
      <c r="V454" s="2">
        <v>3.0679398148148147E-2</v>
      </c>
      <c r="W454" t="s">
        <v>32</v>
      </c>
      <c r="X454" t="s">
        <v>30</v>
      </c>
    </row>
    <row r="455" spans="1:24" x14ac:dyDescent="0.3">
      <c r="A455" t="s">
        <v>815</v>
      </c>
      <c r="B455" t="s">
        <v>25</v>
      </c>
      <c r="C455" t="s">
        <v>26</v>
      </c>
      <c r="D455">
        <v>-577.45000000000005</v>
      </c>
      <c r="E455">
        <v>-833.53</v>
      </c>
      <c r="F455">
        <v>-577.45000000000005</v>
      </c>
      <c r="G455" t="s">
        <v>27</v>
      </c>
      <c r="H455">
        <v>1243810</v>
      </c>
      <c r="I455" t="s">
        <v>339</v>
      </c>
      <c r="J455" t="s">
        <v>29</v>
      </c>
      <c r="K455" t="s">
        <v>30</v>
      </c>
      <c r="M455" s="1">
        <v>45658</v>
      </c>
      <c r="O455" s="2">
        <v>3.0515046296296297E-2</v>
      </c>
      <c r="P455" t="s">
        <v>31</v>
      </c>
      <c r="Q455" s="2">
        <v>3.0515046296296297E-2</v>
      </c>
      <c r="T455" t="s">
        <v>816</v>
      </c>
      <c r="V455" s="2">
        <v>3.0679398148148147E-2</v>
      </c>
      <c r="W455" t="s">
        <v>32</v>
      </c>
      <c r="X455" t="s">
        <v>30</v>
      </c>
    </row>
    <row r="456" spans="1:24" x14ac:dyDescent="0.3">
      <c r="A456" t="s">
        <v>817</v>
      </c>
      <c r="B456" t="s">
        <v>25</v>
      </c>
      <c r="C456" t="s">
        <v>26</v>
      </c>
      <c r="D456">
        <v>-1760.2</v>
      </c>
      <c r="E456">
        <v>-1313.97</v>
      </c>
      <c r="F456">
        <v>-1760.2</v>
      </c>
      <c r="G456" t="s">
        <v>27</v>
      </c>
      <c r="H456">
        <v>1243810</v>
      </c>
      <c r="I456" t="s">
        <v>339</v>
      </c>
      <c r="J456" t="s">
        <v>29</v>
      </c>
      <c r="K456" t="s">
        <v>30</v>
      </c>
      <c r="M456" s="1">
        <v>45658</v>
      </c>
      <c r="O456" s="2">
        <v>3.0515046296296297E-2</v>
      </c>
      <c r="P456" t="s">
        <v>31</v>
      </c>
      <c r="Q456" s="2">
        <v>3.0515046296296297E-2</v>
      </c>
      <c r="T456" t="s">
        <v>818</v>
      </c>
      <c r="V456" s="2">
        <v>3.0679398148148147E-2</v>
      </c>
      <c r="W456" t="s">
        <v>32</v>
      </c>
      <c r="X456" t="s">
        <v>30</v>
      </c>
    </row>
    <row r="457" spans="1:24" x14ac:dyDescent="0.3">
      <c r="A457" t="s">
        <v>819</v>
      </c>
      <c r="B457" t="s">
        <v>25</v>
      </c>
      <c r="C457" t="s">
        <v>26</v>
      </c>
      <c r="D457">
        <v>-497.63</v>
      </c>
      <c r="E457">
        <v>-369.41</v>
      </c>
      <c r="F457">
        <v>-497.63</v>
      </c>
      <c r="G457" t="s">
        <v>27</v>
      </c>
      <c r="H457">
        <v>1243810</v>
      </c>
      <c r="I457" t="s">
        <v>339</v>
      </c>
      <c r="J457" t="s">
        <v>29</v>
      </c>
      <c r="K457" t="s">
        <v>30</v>
      </c>
      <c r="M457" s="1">
        <v>45658</v>
      </c>
      <c r="O457" s="2">
        <v>3.0515046296296297E-2</v>
      </c>
      <c r="P457" t="s">
        <v>31</v>
      </c>
      <c r="Q457" s="2">
        <v>3.0515046296296297E-2</v>
      </c>
      <c r="T457" t="s">
        <v>458</v>
      </c>
      <c r="V457" s="2">
        <v>3.0679398148148147E-2</v>
      </c>
      <c r="W457" t="s">
        <v>32</v>
      </c>
      <c r="X457" t="s">
        <v>30</v>
      </c>
    </row>
    <row r="458" spans="1:24" x14ac:dyDescent="0.3">
      <c r="A458" t="s">
        <v>820</v>
      </c>
      <c r="B458" t="s">
        <v>25</v>
      </c>
      <c r="C458" t="s">
        <v>26</v>
      </c>
      <c r="D458">
        <v>581.48</v>
      </c>
      <c r="E458">
        <v>440.57</v>
      </c>
      <c r="F458">
        <v>581.48</v>
      </c>
      <c r="G458" t="s">
        <v>27</v>
      </c>
      <c r="H458">
        <v>1243810</v>
      </c>
      <c r="I458" t="s">
        <v>339</v>
      </c>
      <c r="J458" t="s">
        <v>29</v>
      </c>
      <c r="K458" t="s">
        <v>30</v>
      </c>
      <c r="M458" s="1">
        <v>45658</v>
      </c>
      <c r="O458" s="2">
        <v>3.0515046296296297E-2</v>
      </c>
      <c r="P458" t="s">
        <v>31</v>
      </c>
      <c r="Q458" s="2">
        <v>3.0515046296296297E-2</v>
      </c>
      <c r="T458" t="s">
        <v>821</v>
      </c>
      <c r="V458" s="2">
        <v>3.0679398148148147E-2</v>
      </c>
      <c r="W458" t="s">
        <v>32</v>
      </c>
      <c r="X458" t="s">
        <v>30</v>
      </c>
    </row>
    <row r="459" spans="1:24" x14ac:dyDescent="0.3">
      <c r="A459" t="s">
        <v>822</v>
      </c>
      <c r="B459" t="s">
        <v>25</v>
      </c>
      <c r="C459" t="s">
        <v>26</v>
      </c>
      <c r="D459">
        <v>-235.87</v>
      </c>
      <c r="E459">
        <v>-312.61</v>
      </c>
      <c r="F459">
        <v>-235.87</v>
      </c>
      <c r="G459" t="s">
        <v>27</v>
      </c>
      <c r="H459">
        <v>1243810</v>
      </c>
      <c r="I459" t="s">
        <v>339</v>
      </c>
      <c r="J459" t="s">
        <v>29</v>
      </c>
      <c r="K459" t="s">
        <v>30</v>
      </c>
      <c r="M459" s="1">
        <v>45658</v>
      </c>
      <c r="O459" s="2">
        <v>3.0515046296296297E-2</v>
      </c>
      <c r="P459" t="s">
        <v>31</v>
      </c>
      <c r="Q459" s="2">
        <v>3.0515046296296297E-2</v>
      </c>
      <c r="T459" t="s">
        <v>462</v>
      </c>
      <c r="V459" s="2">
        <v>3.0679398148148147E-2</v>
      </c>
      <c r="W459" t="s">
        <v>32</v>
      </c>
      <c r="X459" t="s">
        <v>30</v>
      </c>
    </row>
    <row r="460" spans="1:24" x14ac:dyDescent="0.3">
      <c r="A460" t="s">
        <v>823</v>
      </c>
      <c r="B460" t="s">
        <v>25</v>
      </c>
      <c r="C460" t="s">
        <v>26</v>
      </c>
      <c r="D460">
        <v>15.14</v>
      </c>
      <c r="E460">
        <v>11.3</v>
      </c>
      <c r="F460">
        <v>15.14</v>
      </c>
      <c r="G460" t="s">
        <v>27</v>
      </c>
      <c r="H460">
        <v>1243810</v>
      </c>
      <c r="I460" t="s">
        <v>339</v>
      </c>
      <c r="J460" t="s">
        <v>29</v>
      </c>
      <c r="K460" t="s">
        <v>30</v>
      </c>
      <c r="M460" s="1">
        <v>45658</v>
      </c>
      <c r="O460" s="2">
        <v>3.0515046296296297E-2</v>
      </c>
      <c r="P460" t="s">
        <v>31</v>
      </c>
      <c r="Q460" s="2">
        <v>3.0515046296296297E-2</v>
      </c>
      <c r="T460" t="s">
        <v>824</v>
      </c>
      <c r="V460" s="2">
        <v>3.0679398148148147E-2</v>
      </c>
      <c r="W460" t="s">
        <v>32</v>
      </c>
      <c r="X460" t="s">
        <v>30</v>
      </c>
    </row>
    <row r="461" spans="1:24" x14ac:dyDescent="0.3">
      <c r="A461" t="s">
        <v>825</v>
      </c>
      <c r="B461" t="s">
        <v>25</v>
      </c>
      <c r="C461" t="s">
        <v>26</v>
      </c>
      <c r="D461">
        <v>-488.42</v>
      </c>
      <c r="E461">
        <v>-364.6</v>
      </c>
      <c r="F461">
        <v>-488.42</v>
      </c>
      <c r="G461" t="s">
        <v>27</v>
      </c>
      <c r="H461">
        <v>1243810</v>
      </c>
      <c r="I461" t="s">
        <v>339</v>
      </c>
      <c r="J461" t="s">
        <v>29</v>
      </c>
      <c r="K461" t="s">
        <v>30</v>
      </c>
      <c r="M461" s="1">
        <v>45658</v>
      </c>
      <c r="O461" s="2">
        <v>3.0515046296296297E-2</v>
      </c>
      <c r="P461" t="s">
        <v>31</v>
      </c>
      <c r="Q461" s="2">
        <v>3.0515046296296297E-2</v>
      </c>
      <c r="T461" t="s">
        <v>826</v>
      </c>
      <c r="V461" s="2">
        <v>3.0679398148148147E-2</v>
      </c>
      <c r="W461" t="s">
        <v>32</v>
      </c>
      <c r="X461" t="s">
        <v>30</v>
      </c>
    </row>
    <row r="462" spans="1:24" x14ac:dyDescent="0.3">
      <c r="A462" t="s">
        <v>827</v>
      </c>
      <c r="B462" t="s">
        <v>25</v>
      </c>
      <c r="C462" t="s">
        <v>26</v>
      </c>
      <c r="D462">
        <v>83.54</v>
      </c>
      <c r="E462">
        <v>62.36</v>
      </c>
      <c r="F462">
        <v>83.54</v>
      </c>
      <c r="G462" t="s">
        <v>27</v>
      </c>
      <c r="H462">
        <v>1243810</v>
      </c>
      <c r="I462" t="s">
        <v>339</v>
      </c>
      <c r="J462" t="s">
        <v>29</v>
      </c>
      <c r="K462" t="s">
        <v>30</v>
      </c>
      <c r="M462" s="1">
        <v>45658</v>
      </c>
      <c r="O462" s="2">
        <v>3.0515046296296297E-2</v>
      </c>
      <c r="P462" t="s">
        <v>31</v>
      </c>
      <c r="Q462" s="2">
        <v>3.0515046296296297E-2</v>
      </c>
      <c r="T462" t="s">
        <v>828</v>
      </c>
      <c r="V462" s="2">
        <v>3.0679398148148147E-2</v>
      </c>
      <c r="W462" t="s">
        <v>32</v>
      </c>
      <c r="X462" t="s">
        <v>30</v>
      </c>
    </row>
    <row r="463" spans="1:24" x14ac:dyDescent="0.3">
      <c r="A463" t="s">
        <v>829</v>
      </c>
      <c r="B463" t="s">
        <v>25</v>
      </c>
      <c r="C463" t="s">
        <v>26</v>
      </c>
      <c r="D463">
        <v>-590.61</v>
      </c>
      <c r="E463">
        <v>-440.89</v>
      </c>
      <c r="F463">
        <v>-590.61</v>
      </c>
      <c r="G463" t="s">
        <v>27</v>
      </c>
      <c r="H463">
        <v>1243810</v>
      </c>
      <c r="I463" t="s">
        <v>339</v>
      </c>
      <c r="J463" t="s">
        <v>29</v>
      </c>
      <c r="K463" t="s">
        <v>30</v>
      </c>
      <c r="M463" s="1">
        <v>45658</v>
      </c>
      <c r="O463" s="2">
        <v>3.0515046296296297E-2</v>
      </c>
      <c r="P463" t="s">
        <v>31</v>
      </c>
      <c r="Q463" s="2">
        <v>3.0515046296296297E-2</v>
      </c>
      <c r="T463" t="s">
        <v>830</v>
      </c>
      <c r="V463" s="2">
        <v>3.0679398148148147E-2</v>
      </c>
      <c r="W463" t="s">
        <v>32</v>
      </c>
      <c r="X463" t="s">
        <v>30</v>
      </c>
    </row>
    <row r="464" spans="1:24" x14ac:dyDescent="0.3">
      <c r="A464" t="s">
        <v>831</v>
      </c>
      <c r="B464" t="s">
        <v>25</v>
      </c>
      <c r="C464" t="s">
        <v>26</v>
      </c>
      <c r="D464">
        <v>93486.88</v>
      </c>
      <c r="E464">
        <v>68922.13</v>
      </c>
      <c r="F464">
        <v>93486.88</v>
      </c>
      <c r="G464" t="s">
        <v>27</v>
      </c>
      <c r="H464">
        <v>1243810</v>
      </c>
      <c r="I464" t="s">
        <v>339</v>
      </c>
      <c r="J464" t="s">
        <v>29</v>
      </c>
      <c r="K464" t="s">
        <v>30</v>
      </c>
      <c r="M464" s="1">
        <v>45658</v>
      </c>
      <c r="O464" s="2">
        <v>3.0515046296296297E-2</v>
      </c>
      <c r="P464" t="s">
        <v>31</v>
      </c>
      <c r="Q464" s="2">
        <v>3.0515046296296297E-2</v>
      </c>
      <c r="V464" s="2">
        <v>3.0679398148148147E-2</v>
      </c>
      <c r="W464" t="s">
        <v>32</v>
      </c>
      <c r="X464" t="s">
        <v>30</v>
      </c>
    </row>
    <row r="465" spans="1:24" x14ac:dyDescent="0.3">
      <c r="A465" t="s">
        <v>832</v>
      </c>
      <c r="B465" t="s">
        <v>25</v>
      </c>
      <c r="C465" t="s">
        <v>26</v>
      </c>
      <c r="D465">
        <v>-95.26</v>
      </c>
      <c r="E465">
        <v>-62.88</v>
      </c>
      <c r="F465">
        <v>-95.26</v>
      </c>
      <c r="G465" t="s">
        <v>27</v>
      </c>
      <c r="H465">
        <v>1243810</v>
      </c>
      <c r="I465" t="s">
        <v>339</v>
      </c>
      <c r="J465" t="s">
        <v>29</v>
      </c>
      <c r="K465" t="s">
        <v>30</v>
      </c>
      <c r="M465" s="1">
        <v>45658</v>
      </c>
      <c r="O465" s="2">
        <v>3.0515046296296297E-2</v>
      </c>
      <c r="P465" t="s">
        <v>31</v>
      </c>
      <c r="Q465" s="2">
        <v>3.0515046296296297E-2</v>
      </c>
      <c r="T465" t="s">
        <v>833</v>
      </c>
      <c r="V465" s="2">
        <v>3.0679398148148147E-2</v>
      </c>
      <c r="W465" t="s">
        <v>32</v>
      </c>
      <c r="X465" t="s">
        <v>30</v>
      </c>
    </row>
    <row r="466" spans="1:24" x14ac:dyDescent="0.3">
      <c r="A466" t="s">
        <v>834</v>
      </c>
      <c r="B466" t="s">
        <v>25</v>
      </c>
      <c r="C466" t="s">
        <v>26</v>
      </c>
      <c r="D466">
        <v>-2683.85</v>
      </c>
      <c r="E466">
        <v>-1993.21</v>
      </c>
      <c r="F466">
        <v>-2683.85</v>
      </c>
      <c r="G466" t="s">
        <v>27</v>
      </c>
      <c r="H466">
        <v>1243810</v>
      </c>
      <c r="I466" t="s">
        <v>339</v>
      </c>
      <c r="J466" t="s">
        <v>29</v>
      </c>
      <c r="K466" t="s">
        <v>30</v>
      </c>
      <c r="M466" s="1">
        <v>45658</v>
      </c>
      <c r="O466" s="2">
        <v>3.0515046296296297E-2</v>
      </c>
      <c r="P466" t="s">
        <v>31</v>
      </c>
      <c r="Q466" s="2">
        <v>3.0515046296296297E-2</v>
      </c>
      <c r="T466" t="s">
        <v>835</v>
      </c>
      <c r="V466" s="2">
        <v>3.0679398148148147E-2</v>
      </c>
      <c r="W466" t="s">
        <v>32</v>
      </c>
      <c r="X466" t="s">
        <v>30</v>
      </c>
    </row>
    <row r="467" spans="1:24" x14ac:dyDescent="0.3">
      <c r="A467" t="s">
        <v>836</v>
      </c>
      <c r="B467" t="s">
        <v>25</v>
      </c>
      <c r="C467" t="s">
        <v>26</v>
      </c>
      <c r="D467">
        <v>-568.94000000000005</v>
      </c>
      <c r="E467">
        <v>-403.99</v>
      </c>
      <c r="F467">
        <v>-568.94000000000005</v>
      </c>
      <c r="G467" t="s">
        <v>27</v>
      </c>
      <c r="H467">
        <v>1243810</v>
      </c>
      <c r="I467" t="s">
        <v>339</v>
      </c>
      <c r="J467" t="s">
        <v>29</v>
      </c>
      <c r="K467" t="s">
        <v>30</v>
      </c>
      <c r="M467" s="1">
        <v>45658</v>
      </c>
      <c r="O467" s="2">
        <v>3.0515046296296297E-2</v>
      </c>
      <c r="P467" t="s">
        <v>31</v>
      </c>
      <c r="Q467" s="2">
        <v>3.0515046296296297E-2</v>
      </c>
      <c r="T467" t="s">
        <v>837</v>
      </c>
      <c r="V467" s="2">
        <v>3.0679398148148147E-2</v>
      </c>
      <c r="W467" t="s">
        <v>32</v>
      </c>
      <c r="X467" t="s">
        <v>30</v>
      </c>
    </row>
    <row r="468" spans="1:24" x14ac:dyDescent="0.3">
      <c r="A468" t="s">
        <v>838</v>
      </c>
      <c r="B468" t="s">
        <v>25</v>
      </c>
      <c r="C468" t="s">
        <v>26</v>
      </c>
      <c r="D468">
        <v>-1243.98</v>
      </c>
      <c r="E468">
        <v>-924.98</v>
      </c>
      <c r="F468">
        <v>-1243.98</v>
      </c>
      <c r="G468" t="s">
        <v>27</v>
      </c>
      <c r="H468">
        <v>1243810</v>
      </c>
      <c r="I468" t="s">
        <v>339</v>
      </c>
      <c r="J468" t="s">
        <v>29</v>
      </c>
      <c r="K468" t="s">
        <v>30</v>
      </c>
      <c r="M468" s="1">
        <v>45658</v>
      </c>
      <c r="O468" s="2">
        <v>3.0515046296296297E-2</v>
      </c>
      <c r="P468" t="s">
        <v>31</v>
      </c>
      <c r="Q468" s="2">
        <v>3.0515046296296297E-2</v>
      </c>
      <c r="T468" t="s">
        <v>839</v>
      </c>
      <c r="V468" s="2">
        <v>3.0679398148148147E-2</v>
      </c>
      <c r="W468" t="s">
        <v>32</v>
      </c>
      <c r="X468" t="s">
        <v>30</v>
      </c>
    </row>
    <row r="469" spans="1:24" x14ac:dyDescent="0.3">
      <c r="A469" t="s">
        <v>840</v>
      </c>
      <c r="B469" t="s">
        <v>25</v>
      </c>
      <c r="C469" t="s">
        <v>26</v>
      </c>
      <c r="D469">
        <v>77.56</v>
      </c>
      <c r="E469">
        <v>58.02</v>
      </c>
      <c r="F469">
        <v>77.56</v>
      </c>
      <c r="G469" t="s">
        <v>27</v>
      </c>
      <c r="H469">
        <v>1243810</v>
      </c>
      <c r="I469" t="s">
        <v>339</v>
      </c>
      <c r="J469" t="s">
        <v>29</v>
      </c>
      <c r="K469" t="s">
        <v>30</v>
      </c>
      <c r="M469" s="1">
        <v>45658</v>
      </c>
      <c r="O469" s="2">
        <v>3.0515046296296297E-2</v>
      </c>
      <c r="P469" t="s">
        <v>31</v>
      </c>
      <c r="Q469" s="2">
        <v>3.0515046296296297E-2</v>
      </c>
      <c r="T469" t="s">
        <v>841</v>
      </c>
      <c r="V469" s="2">
        <v>3.0679398148148147E-2</v>
      </c>
      <c r="W469" t="s">
        <v>32</v>
      </c>
      <c r="X469" t="s">
        <v>30</v>
      </c>
    </row>
    <row r="470" spans="1:24" x14ac:dyDescent="0.3">
      <c r="A470" t="s">
        <v>842</v>
      </c>
      <c r="B470" t="s">
        <v>25</v>
      </c>
      <c r="C470" t="s">
        <v>26</v>
      </c>
      <c r="D470">
        <v>436.78</v>
      </c>
      <c r="E470">
        <v>326.05</v>
      </c>
      <c r="F470">
        <v>436.78</v>
      </c>
      <c r="G470" t="s">
        <v>27</v>
      </c>
      <c r="H470">
        <v>1243810</v>
      </c>
      <c r="I470" t="s">
        <v>339</v>
      </c>
      <c r="J470" t="s">
        <v>29</v>
      </c>
      <c r="K470" t="s">
        <v>30</v>
      </c>
      <c r="M470" s="1">
        <v>45658</v>
      </c>
      <c r="O470" s="2">
        <v>3.0515046296296297E-2</v>
      </c>
      <c r="P470" t="s">
        <v>31</v>
      </c>
      <c r="Q470" s="2">
        <v>3.0515046296296297E-2</v>
      </c>
      <c r="T470" t="s">
        <v>843</v>
      </c>
      <c r="V470" s="2">
        <v>3.0679398148148147E-2</v>
      </c>
      <c r="W470" t="s">
        <v>32</v>
      </c>
      <c r="X470" t="s">
        <v>30</v>
      </c>
    </row>
    <row r="471" spans="1:24" x14ac:dyDescent="0.3">
      <c r="A471" t="s">
        <v>844</v>
      </c>
      <c r="B471" t="s">
        <v>25</v>
      </c>
      <c r="C471" t="s">
        <v>26</v>
      </c>
      <c r="D471">
        <v>-2126.73</v>
      </c>
      <c r="E471">
        <v>-1579.32</v>
      </c>
      <c r="F471">
        <v>-2126.73</v>
      </c>
      <c r="G471" t="s">
        <v>27</v>
      </c>
      <c r="H471">
        <v>1243810</v>
      </c>
      <c r="I471" t="s">
        <v>339</v>
      </c>
      <c r="J471" t="s">
        <v>29</v>
      </c>
      <c r="K471" t="s">
        <v>30</v>
      </c>
      <c r="M471" s="1">
        <v>45658</v>
      </c>
      <c r="O471" s="2">
        <v>3.0515046296296297E-2</v>
      </c>
      <c r="P471" t="s">
        <v>31</v>
      </c>
      <c r="Q471" s="2">
        <v>3.0515046296296297E-2</v>
      </c>
      <c r="T471" t="s">
        <v>845</v>
      </c>
      <c r="V471" s="2">
        <v>3.0679398148148147E-2</v>
      </c>
      <c r="W471" t="s">
        <v>32</v>
      </c>
      <c r="X471" t="s">
        <v>30</v>
      </c>
    </row>
    <row r="472" spans="1:24" x14ac:dyDescent="0.3">
      <c r="A472" t="s">
        <v>846</v>
      </c>
      <c r="B472" t="s">
        <v>25</v>
      </c>
      <c r="C472" t="s">
        <v>26</v>
      </c>
      <c r="D472">
        <v>-1760.2</v>
      </c>
      <c r="E472">
        <v>-1313.97</v>
      </c>
      <c r="F472">
        <v>-1760.2</v>
      </c>
      <c r="G472" t="s">
        <v>27</v>
      </c>
      <c r="H472">
        <v>1243810</v>
      </c>
      <c r="I472" t="s">
        <v>339</v>
      </c>
      <c r="J472" t="s">
        <v>29</v>
      </c>
      <c r="K472" t="s">
        <v>30</v>
      </c>
      <c r="M472" s="1">
        <v>45658</v>
      </c>
      <c r="O472" s="2">
        <v>3.0515046296296297E-2</v>
      </c>
      <c r="P472" t="s">
        <v>31</v>
      </c>
      <c r="Q472" s="2">
        <v>3.0515046296296297E-2</v>
      </c>
      <c r="T472" t="s">
        <v>847</v>
      </c>
      <c r="V472" s="2">
        <v>3.0679398148148147E-2</v>
      </c>
      <c r="W472" t="s">
        <v>32</v>
      </c>
      <c r="X472" t="s">
        <v>30</v>
      </c>
    </row>
    <row r="473" spans="1:24" x14ac:dyDescent="0.3">
      <c r="A473" t="s">
        <v>848</v>
      </c>
      <c r="B473" t="s">
        <v>25</v>
      </c>
      <c r="C473" t="s">
        <v>26</v>
      </c>
      <c r="D473">
        <v>-146.44999999999999</v>
      </c>
      <c r="E473">
        <v>-109.32</v>
      </c>
      <c r="F473">
        <v>-146.44999999999999</v>
      </c>
      <c r="G473" t="s">
        <v>27</v>
      </c>
      <c r="H473">
        <v>1243810</v>
      </c>
      <c r="I473" t="s">
        <v>339</v>
      </c>
      <c r="J473" t="s">
        <v>29</v>
      </c>
      <c r="K473" t="s">
        <v>30</v>
      </c>
      <c r="M473" s="1">
        <v>45658</v>
      </c>
      <c r="O473" s="2">
        <v>3.0515046296296297E-2</v>
      </c>
      <c r="P473" t="s">
        <v>31</v>
      </c>
      <c r="Q473" s="2">
        <v>3.0515046296296297E-2</v>
      </c>
      <c r="T473" t="s">
        <v>849</v>
      </c>
      <c r="V473" s="2">
        <v>3.0679398148148147E-2</v>
      </c>
      <c r="W473" t="s">
        <v>32</v>
      </c>
      <c r="X473" t="s">
        <v>30</v>
      </c>
    </row>
    <row r="474" spans="1:24" x14ac:dyDescent="0.3">
      <c r="A474" t="s">
        <v>850</v>
      </c>
      <c r="B474" t="s">
        <v>25</v>
      </c>
      <c r="C474" t="s">
        <v>26</v>
      </c>
      <c r="D474">
        <v>-3672.42</v>
      </c>
      <c r="E474">
        <v>-2741.43</v>
      </c>
      <c r="F474">
        <v>-3672.42</v>
      </c>
      <c r="G474" t="s">
        <v>27</v>
      </c>
      <c r="H474">
        <v>1243810</v>
      </c>
      <c r="I474" t="s">
        <v>339</v>
      </c>
      <c r="J474" t="s">
        <v>29</v>
      </c>
      <c r="K474" t="s">
        <v>30</v>
      </c>
      <c r="M474" s="1">
        <v>45658</v>
      </c>
      <c r="O474" s="2">
        <v>3.0515046296296297E-2</v>
      </c>
      <c r="P474" t="s">
        <v>31</v>
      </c>
      <c r="Q474" s="2">
        <v>3.0515046296296297E-2</v>
      </c>
      <c r="T474" t="s">
        <v>851</v>
      </c>
      <c r="V474" s="2">
        <v>3.0679398148148147E-2</v>
      </c>
      <c r="W474" t="s">
        <v>32</v>
      </c>
      <c r="X474" t="s">
        <v>30</v>
      </c>
    </row>
    <row r="475" spans="1:24" x14ac:dyDescent="0.3">
      <c r="A475" t="s">
        <v>852</v>
      </c>
      <c r="B475" t="s">
        <v>25</v>
      </c>
      <c r="C475" t="s">
        <v>26</v>
      </c>
      <c r="D475">
        <v>322.64</v>
      </c>
      <c r="E475">
        <v>240.85</v>
      </c>
      <c r="F475">
        <v>322.64</v>
      </c>
      <c r="G475" t="s">
        <v>27</v>
      </c>
      <c r="H475">
        <v>1243810</v>
      </c>
      <c r="I475" t="s">
        <v>339</v>
      </c>
      <c r="J475" t="s">
        <v>29</v>
      </c>
      <c r="K475" t="s">
        <v>30</v>
      </c>
      <c r="M475" s="1">
        <v>45658</v>
      </c>
      <c r="O475" s="2">
        <v>3.0515046296296297E-2</v>
      </c>
      <c r="P475" t="s">
        <v>31</v>
      </c>
      <c r="Q475" s="2">
        <v>3.0515046296296297E-2</v>
      </c>
      <c r="T475" t="s">
        <v>853</v>
      </c>
      <c r="V475" s="2">
        <v>3.0679398148148147E-2</v>
      </c>
      <c r="W475" t="s">
        <v>32</v>
      </c>
      <c r="X475" t="s">
        <v>30</v>
      </c>
    </row>
    <row r="476" spans="1:24" x14ac:dyDescent="0.3">
      <c r="A476" t="s">
        <v>854</v>
      </c>
      <c r="B476" t="s">
        <v>25</v>
      </c>
      <c r="C476" t="s">
        <v>26</v>
      </c>
      <c r="D476">
        <v>24.16</v>
      </c>
      <c r="E476">
        <v>18.04</v>
      </c>
      <c r="F476">
        <v>24.16</v>
      </c>
      <c r="G476" t="s">
        <v>27</v>
      </c>
      <c r="H476">
        <v>1243810</v>
      </c>
      <c r="I476" t="s">
        <v>339</v>
      </c>
      <c r="J476" t="s">
        <v>29</v>
      </c>
      <c r="K476" t="s">
        <v>30</v>
      </c>
      <c r="M476" s="1">
        <v>45658</v>
      </c>
      <c r="O476" s="2">
        <v>3.0515046296296297E-2</v>
      </c>
      <c r="P476" t="s">
        <v>31</v>
      </c>
      <c r="Q476" s="2">
        <v>3.0515046296296297E-2</v>
      </c>
      <c r="T476" t="s">
        <v>855</v>
      </c>
      <c r="V476" s="2">
        <v>3.0679398148148147E-2</v>
      </c>
      <c r="W476" t="s">
        <v>32</v>
      </c>
      <c r="X476" t="s">
        <v>30</v>
      </c>
    </row>
    <row r="477" spans="1:24" x14ac:dyDescent="0.3">
      <c r="A477" t="s">
        <v>856</v>
      </c>
      <c r="B477" t="s">
        <v>25</v>
      </c>
      <c r="C477" t="s">
        <v>26</v>
      </c>
      <c r="D477">
        <v>-1760.2</v>
      </c>
      <c r="E477">
        <v>-1313.97</v>
      </c>
      <c r="F477">
        <v>-1760.2</v>
      </c>
      <c r="G477" t="s">
        <v>27</v>
      </c>
      <c r="H477">
        <v>1243810</v>
      </c>
      <c r="I477" t="s">
        <v>339</v>
      </c>
      <c r="J477" t="s">
        <v>29</v>
      </c>
      <c r="K477" t="s">
        <v>30</v>
      </c>
      <c r="M477" s="1">
        <v>45658</v>
      </c>
      <c r="O477" s="2">
        <v>3.0515046296296297E-2</v>
      </c>
      <c r="P477" t="s">
        <v>31</v>
      </c>
      <c r="Q477" s="2">
        <v>3.0515046296296297E-2</v>
      </c>
      <c r="T477" t="s">
        <v>857</v>
      </c>
      <c r="V477" s="2">
        <v>3.0679398148148147E-2</v>
      </c>
      <c r="W477" t="s">
        <v>32</v>
      </c>
      <c r="X477" t="s">
        <v>30</v>
      </c>
    </row>
    <row r="478" spans="1:24" x14ac:dyDescent="0.3">
      <c r="A478" t="s">
        <v>858</v>
      </c>
      <c r="B478" t="s">
        <v>25</v>
      </c>
      <c r="C478" t="s">
        <v>26</v>
      </c>
      <c r="D478">
        <v>-22.89</v>
      </c>
      <c r="E478">
        <v>-17.09</v>
      </c>
      <c r="F478">
        <v>-22.89</v>
      </c>
      <c r="G478" t="s">
        <v>27</v>
      </c>
      <c r="H478">
        <v>1243810</v>
      </c>
      <c r="I478" t="s">
        <v>339</v>
      </c>
      <c r="J478" t="s">
        <v>29</v>
      </c>
      <c r="K478" t="s">
        <v>30</v>
      </c>
      <c r="M478" s="1">
        <v>45658</v>
      </c>
      <c r="O478" s="2">
        <v>3.0515046296296297E-2</v>
      </c>
      <c r="P478" t="s">
        <v>31</v>
      </c>
      <c r="Q478" s="2">
        <v>3.0515046296296297E-2</v>
      </c>
      <c r="T478" t="s">
        <v>859</v>
      </c>
      <c r="V478" s="2">
        <v>3.0679398148148147E-2</v>
      </c>
      <c r="W478" t="s">
        <v>32</v>
      </c>
      <c r="X478" t="s">
        <v>30</v>
      </c>
    </row>
    <row r="479" spans="1:24" x14ac:dyDescent="0.3">
      <c r="A479" t="s">
        <v>860</v>
      </c>
      <c r="B479" t="s">
        <v>25</v>
      </c>
      <c r="C479" t="s">
        <v>26</v>
      </c>
      <c r="D479">
        <v>-936.59</v>
      </c>
      <c r="E479">
        <v>-698.87</v>
      </c>
      <c r="F479">
        <v>-936.59</v>
      </c>
      <c r="G479" t="s">
        <v>27</v>
      </c>
      <c r="H479">
        <v>1243810</v>
      </c>
      <c r="I479" t="s">
        <v>339</v>
      </c>
      <c r="J479" t="s">
        <v>29</v>
      </c>
      <c r="K479" t="s">
        <v>30</v>
      </c>
      <c r="M479" s="1">
        <v>45658</v>
      </c>
      <c r="O479" s="2">
        <v>3.0515046296296297E-2</v>
      </c>
      <c r="P479" t="s">
        <v>31</v>
      </c>
      <c r="Q479" s="2">
        <v>3.0515046296296297E-2</v>
      </c>
      <c r="T479" t="s">
        <v>861</v>
      </c>
      <c r="V479" s="2">
        <v>3.0679398148148147E-2</v>
      </c>
      <c r="W479" t="s">
        <v>32</v>
      </c>
      <c r="X479" t="s">
        <v>30</v>
      </c>
    </row>
    <row r="480" spans="1:24" x14ac:dyDescent="0.3">
      <c r="A480" t="s">
        <v>862</v>
      </c>
      <c r="B480" t="s">
        <v>25</v>
      </c>
      <c r="C480" t="s">
        <v>26</v>
      </c>
      <c r="D480">
        <v>-451.22</v>
      </c>
      <c r="E480">
        <v>-334.77</v>
      </c>
      <c r="F480">
        <v>-451.22</v>
      </c>
      <c r="G480" t="s">
        <v>27</v>
      </c>
      <c r="H480">
        <v>1243810</v>
      </c>
      <c r="I480" t="s">
        <v>339</v>
      </c>
      <c r="J480" t="s">
        <v>29</v>
      </c>
      <c r="K480" t="s">
        <v>30</v>
      </c>
      <c r="M480" s="1">
        <v>45658</v>
      </c>
      <c r="O480" s="2">
        <v>3.0515046296296297E-2</v>
      </c>
      <c r="P480" t="s">
        <v>31</v>
      </c>
      <c r="Q480" s="2">
        <v>3.0515046296296297E-2</v>
      </c>
      <c r="T480" t="s">
        <v>863</v>
      </c>
      <c r="V480" s="2">
        <v>3.0679398148148147E-2</v>
      </c>
      <c r="W480" t="s">
        <v>32</v>
      </c>
      <c r="X480" t="s">
        <v>30</v>
      </c>
    </row>
    <row r="481" spans="1:24" x14ac:dyDescent="0.3">
      <c r="A481" t="s">
        <v>864</v>
      </c>
      <c r="B481" t="s">
        <v>25</v>
      </c>
      <c r="C481" t="s">
        <v>26</v>
      </c>
      <c r="D481">
        <v>-74.47</v>
      </c>
      <c r="E481">
        <v>-55.59</v>
      </c>
      <c r="F481">
        <v>-74.47</v>
      </c>
      <c r="G481" t="s">
        <v>27</v>
      </c>
      <c r="H481">
        <v>1243810</v>
      </c>
      <c r="I481" t="s">
        <v>339</v>
      </c>
      <c r="J481" t="s">
        <v>29</v>
      </c>
      <c r="K481" t="s">
        <v>30</v>
      </c>
      <c r="M481" s="1">
        <v>45658</v>
      </c>
      <c r="O481" s="2">
        <v>3.0515046296296297E-2</v>
      </c>
      <c r="P481" t="s">
        <v>31</v>
      </c>
      <c r="Q481" s="2">
        <v>3.0515046296296297E-2</v>
      </c>
      <c r="T481" t="s">
        <v>865</v>
      </c>
      <c r="V481" s="2">
        <v>3.0679398148148147E-2</v>
      </c>
      <c r="W481" t="s">
        <v>32</v>
      </c>
      <c r="X481" t="s">
        <v>30</v>
      </c>
    </row>
    <row r="482" spans="1:24" x14ac:dyDescent="0.3">
      <c r="A482" t="s">
        <v>866</v>
      </c>
      <c r="B482" t="s">
        <v>25</v>
      </c>
      <c r="C482" t="s">
        <v>26</v>
      </c>
      <c r="D482">
        <v>3.98</v>
      </c>
      <c r="E482">
        <v>-27.42</v>
      </c>
      <c r="F482">
        <v>3.98</v>
      </c>
      <c r="G482" t="s">
        <v>27</v>
      </c>
      <c r="H482">
        <v>1243810</v>
      </c>
      <c r="I482" t="s">
        <v>339</v>
      </c>
      <c r="J482" t="s">
        <v>29</v>
      </c>
      <c r="K482" t="s">
        <v>30</v>
      </c>
      <c r="M482" s="1">
        <v>45658</v>
      </c>
      <c r="O482" s="2">
        <v>3.0515046296296297E-2</v>
      </c>
      <c r="P482" t="s">
        <v>31</v>
      </c>
      <c r="Q482" s="2">
        <v>3.0515046296296297E-2</v>
      </c>
      <c r="T482" t="s">
        <v>867</v>
      </c>
      <c r="V482" s="2">
        <v>3.0679398148148147E-2</v>
      </c>
      <c r="W482" t="s">
        <v>32</v>
      </c>
      <c r="X482" t="s">
        <v>30</v>
      </c>
    </row>
    <row r="483" spans="1:24" x14ac:dyDescent="0.3">
      <c r="A483" t="s">
        <v>868</v>
      </c>
      <c r="B483" t="s">
        <v>25</v>
      </c>
      <c r="C483" t="s">
        <v>26</v>
      </c>
      <c r="D483">
        <v>-11812.8</v>
      </c>
      <c r="E483">
        <v>-8818.15</v>
      </c>
      <c r="F483">
        <v>-11812.8</v>
      </c>
      <c r="G483" t="s">
        <v>27</v>
      </c>
      <c r="H483">
        <v>1243810</v>
      </c>
      <c r="I483" t="s">
        <v>339</v>
      </c>
      <c r="J483" t="s">
        <v>29</v>
      </c>
      <c r="K483" t="s">
        <v>30</v>
      </c>
      <c r="M483" s="1">
        <v>45658</v>
      </c>
      <c r="O483" s="2">
        <v>3.0515046296296297E-2</v>
      </c>
      <c r="P483" t="s">
        <v>31</v>
      </c>
      <c r="Q483" s="2">
        <v>3.0515046296296297E-2</v>
      </c>
      <c r="T483" t="s">
        <v>869</v>
      </c>
      <c r="V483" s="2">
        <v>3.0679398148148147E-2</v>
      </c>
      <c r="W483" t="s">
        <v>32</v>
      </c>
      <c r="X483" t="s">
        <v>30</v>
      </c>
    </row>
    <row r="484" spans="1:24" x14ac:dyDescent="0.3">
      <c r="A484" t="s">
        <v>870</v>
      </c>
      <c r="B484" t="s">
        <v>25</v>
      </c>
      <c r="C484" t="s">
        <v>26</v>
      </c>
      <c r="D484">
        <v>-1257.83</v>
      </c>
      <c r="E484">
        <v>-938.96</v>
      </c>
      <c r="F484">
        <v>-1257.83</v>
      </c>
      <c r="G484" t="s">
        <v>27</v>
      </c>
      <c r="H484">
        <v>1243810</v>
      </c>
      <c r="I484" t="s">
        <v>339</v>
      </c>
      <c r="J484" t="s">
        <v>29</v>
      </c>
      <c r="K484" t="s">
        <v>30</v>
      </c>
      <c r="M484" s="1">
        <v>45658</v>
      </c>
      <c r="O484" s="2">
        <v>3.0515046296296297E-2</v>
      </c>
      <c r="P484" t="s">
        <v>31</v>
      </c>
      <c r="Q484" s="2">
        <v>3.0515046296296297E-2</v>
      </c>
      <c r="T484" t="s">
        <v>871</v>
      </c>
      <c r="V484" s="2">
        <v>3.0679398148148147E-2</v>
      </c>
      <c r="W484" t="s">
        <v>32</v>
      </c>
      <c r="X484" t="s">
        <v>30</v>
      </c>
    </row>
    <row r="485" spans="1:24" x14ac:dyDescent="0.3">
      <c r="A485" t="s">
        <v>872</v>
      </c>
      <c r="B485" t="s">
        <v>25</v>
      </c>
      <c r="C485" t="s">
        <v>26</v>
      </c>
      <c r="D485">
        <v>-197.8</v>
      </c>
      <c r="E485">
        <v>-246.46</v>
      </c>
      <c r="F485">
        <v>-197.8</v>
      </c>
      <c r="G485" t="s">
        <v>27</v>
      </c>
      <c r="H485">
        <v>1243810</v>
      </c>
      <c r="I485" t="s">
        <v>339</v>
      </c>
      <c r="J485" t="s">
        <v>29</v>
      </c>
      <c r="K485" t="s">
        <v>30</v>
      </c>
      <c r="M485" s="1">
        <v>45658</v>
      </c>
      <c r="O485" s="2">
        <v>3.0515046296296297E-2</v>
      </c>
      <c r="P485" t="s">
        <v>31</v>
      </c>
      <c r="Q485" s="2">
        <v>3.0515046296296297E-2</v>
      </c>
      <c r="T485" t="s">
        <v>873</v>
      </c>
      <c r="V485" s="2">
        <v>3.0679398148148147E-2</v>
      </c>
      <c r="W485" t="s">
        <v>32</v>
      </c>
      <c r="X485" t="s">
        <v>30</v>
      </c>
    </row>
    <row r="486" spans="1:24" x14ac:dyDescent="0.3">
      <c r="A486" t="s">
        <v>874</v>
      </c>
      <c r="B486" t="s">
        <v>25</v>
      </c>
      <c r="C486" t="s">
        <v>26</v>
      </c>
      <c r="D486">
        <v>-44.8</v>
      </c>
      <c r="E486">
        <v>-33.26</v>
      </c>
      <c r="F486">
        <v>-44.8</v>
      </c>
      <c r="G486" t="s">
        <v>27</v>
      </c>
      <c r="H486">
        <v>1243810</v>
      </c>
      <c r="I486" t="s">
        <v>339</v>
      </c>
      <c r="J486" t="s">
        <v>29</v>
      </c>
      <c r="K486" t="s">
        <v>30</v>
      </c>
      <c r="M486" s="1">
        <v>45658</v>
      </c>
      <c r="O486" s="2">
        <v>3.0515046296296297E-2</v>
      </c>
      <c r="P486" t="s">
        <v>31</v>
      </c>
      <c r="Q486" s="2">
        <v>3.0515046296296297E-2</v>
      </c>
      <c r="T486" t="s">
        <v>875</v>
      </c>
      <c r="V486" s="2">
        <v>3.0679398148148147E-2</v>
      </c>
      <c r="W486" t="s">
        <v>32</v>
      </c>
      <c r="X486" t="s">
        <v>30</v>
      </c>
    </row>
    <row r="487" spans="1:24" x14ac:dyDescent="0.3">
      <c r="A487" t="s">
        <v>876</v>
      </c>
      <c r="B487" t="s">
        <v>25</v>
      </c>
      <c r="C487" t="s">
        <v>26</v>
      </c>
      <c r="D487">
        <v>-1308.03</v>
      </c>
      <c r="E487">
        <v>-976.43</v>
      </c>
      <c r="F487">
        <v>-1308.03</v>
      </c>
      <c r="G487" t="s">
        <v>27</v>
      </c>
      <c r="H487">
        <v>1243810</v>
      </c>
      <c r="I487" t="s">
        <v>339</v>
      </c>
      <c r="J487" t="s">
        <v>29</v>
      </c>
      <c r="K487" t="s">
        <v>30</v>
      </c>
      <c r="M487" s="1">
        <v>45658</v>
      </c>
      <c r="O487" s="2">
        <v>3.0515046296296297E-2</v>
      </c>
      <c r="P487" t="s">
        <v>31</v>
      </c>
      <c r="Q487" s="2">
        <v>3.0515046296296297E-2</v>
      </c>
      <c r="T487" t="s">
        <v>877</v>
      </c>
      <c r="V487" s="2">
        <v>3.0679398148148147E-2</v>
      </c>
      <c r="W487" t="s">
        <v>32</v>
      </c>
      <c r="X487" t="s">
        <v>30</v>
      </c>
    </row>
    <row r="488" spans="1:24" x14ac:dyDescent="0.3">
      <c r="A488" t="s">
        <v>878</v>
      </c>
      <c r="B488" t="s">
        <v>25</v>
      </c>
      <c r="C488" t="s">
        <v>26</v>
      </c>
      <c r="D488">
        <v>-53.42</v>
      </c>
      <c r="E488">
        <v>-39.880000000000003</v>
      </c>
      <c r="F488">
        <v>-53.42</v>
      </c>
      <c r="G488" t="s">
        <v>27</v>
      </c>
      <c r="H488">
        <v>1243810</v>
      </c>
      <c r="I488" t="s">
        <v>339</v>
      </c>
      <c r="J488" t="s">
        <v>29</v>
      </c>
      <c r="K488" t="s">
        <v>30</v>
      </c>
      <c r="M488" s="1">
        <v>45658</v>
      </c>
      <c r="O488" s="2">
        <v>3.0515046296296297E-2</v>
      </c>
      <c r="P488" t="s">
        <v>31</v>
      </c>
      <c r="Q488" s="2">
        <v>3.0515046296296297E-2</v>
      </c>
      <c r="T488" t="s">
        <v>879</v>
      </c>
      <c r="V488" s="2">
        <v>3.0679398148148147E-2</v>
      </c>
      <c r="W488" t="s">
        <v>32</v>
      </c>
      <c r="X488" t="s">
        <v>30</v>
      </c>
    </row>
    <row r="489" spans="1:24" x14ac:dyDescent="0.3">
      <c r="A489" t="s">
        <v>880</v>
      </c>
      <c r="B489" t="s">
        <v>25</v>
      </c>
      <c r="C489" t="s">
        <v>26</v>
      </c>
      <c r="D489">
        <v>-1323.98</v>
      </c>
      <c r="E489">
        <v>-986.6</v>
      </c>
      <c r="F489">
        <v>-1323.98</v>
      </c>
      <c r="G489" t="s">
        <v>27</v>
      </c>
      <c r="H489">
        <v>1243810</v>
      </c>
      <c r="I489" t="s">
        <v>339</v>
      </c>
      <c r="J489" t="s">
        <v>29</v>
      </c>
      <c r="K489" t="s">
        <v>30</v>
      </c>
      <c r="M489" s="1">
        <v>45658</v>
      </c>
      <c r="O489" s="2">
        <v>3.0515046296296297E-2</v>
      </c>
      <c r="P489" t="s">
        <v>31</v>
      </c>
      <c r="Q489" s="2">
        <v>3.0515046296296297E-2</v>
      </c>
      <c r="T489" t="s">
        <v>446</v>
      </c>
      <c r="V489" s="2">
        <v>3.0679398148148147E-2</v>
      </c>
      <c r="W489" t="s">
        <v>32</v>
      </c>
      <c r="X489" t="s">
        <v>30</v>
      </c>
    </row>
    <row r="490" spans="1:24" x14ac:dyDescent="0.3">
      <c r="A490" t="s">
        <v>881</v>
      </c>
      <c r="B490" t="s">
        <v>25</v>
      </c>
      <c r="C490" t="s">
        <v>26</v>
      </c>
      <c r="D490">
        <v>-45.05</v>
      </c>
      <c r="E490">
        <v>-33.44</v>
      </c>
      <c r="F490">
        <v>-45.05</v>
      </c>
      <c r="G490" t="s">
        <v>27</v>
      </c>
      <c r="H490">
        <v>1243810</v>
      </c>
      <c r="I490" t="s">
        <v>339</v>
      </c>
      <c r="J490" t="s">
        <v>29</v>
      </c>
      <c r="K490" t="s">
        <v>30</v>
      </c>
      <c r="M490" s="1">
        <v>45658</v>
      </c>
      <c r="O490" s="2">
        <v>3.0515046296296297E-2</v>
      </c>
      <c r="P490" t="s">
        <v>31</v>
      </c>
      <c r="Q490" s="2">
        <v>3.0515046296296297E-2</v>
      </c>
      <c r="T490" t="s">
        <v>882</v>
      </c>
      <c r="V490" s="2">
        <v>3.0679398148148147E-2</v>
      </c>
      <c r="W490" t="s">
        <v>32</v>
      </c>
      <c r="X490" t="s">
        <v>30</v>
      </c>
    </row>
    <row r="491" spans="1:24" x14ac:dyDescent="0.3">
      <c r="A491" t="s">
        <v>883</v>
      </c>
      <c r="B491" t="s">
        <v>25</v>
      </c>
      <c r="C491" t="s">
        <v>26</v>
      </c>
      <c r="D491">
        <v>1270.47</v>
      </c>
      <c r="E491">
        <v>948.4</v>
      </c>
      <c r="F491">
        <v>1270.47</v>
      </c>
      <c r="G491" t="s">
        <v>27</v>
      </c>
      <c r="H491">
        <v>1243810</v>
      </c>
      <c r="I491" t="s">
        <v>339</v>
      </c>
      <c r="J491" t="s">
        <v>29</v>
      </c>
      <c r="K491" t="s">
        <v>30</v>
      </c>
      <c r="M491" s="1">
        <v>45658</v>
      </c>
      <c r="O491" s="2">
        <v>3.0515046296296297E-2</v>
      </c>
      <c r="P491" t="s">
        <v>31</v>
      </c>
      <c r="Q491" s="2">
        <v>3.0515046296296297E-2</v>
      </c>
      <c r="T491" t="s">
        <v>884</v>
      </c>
      <c r="V491" s="2">
        <v>3.0679398148148147E-2</v>
      </c>
      <c r="W491" t="s">
        <v>32</v>
      </c>
      <c r="X491" t="s">
        <v>30</v>
      </c>
    </row>
    <row r="492" spans="1:24" x14ac:dyDescent="0.3">
      <c r="A492" t="s">
        <v>885</v>
      </c>
      <c r="B492" t="s">
        <v>25</v>
      </c>
      <c r="C492" t="s">
        <v>26</v>
      </c>
      <c r="D492">
        <v>-747.88</v>
      </c>
      <c r="E492">
        <v>-552.16999999999996</v>
      </c>
      <c r="F492">
        <v>-747.88</v>
      </c>
      <c r="G492" t="s">
        <v>27</v>
      </c>
      <c r="H492">
        <v>1243810</v>
      </c>
      <c r="I492" t="s">
        <v>339</v>
      </c>
      <c r="J492" t="s">
        <v>29</v>
      </c>
      <c r="K492" t="s">
        <v>30</v>
      </c>
      <c r="M492" s="1">
        <v>45658</v>
      </c>
      <c r="O492" s="2">
        <v>3.0515046296296297E-2</v>
      </c>
      <c r="P492" t="s">
        <v>31</v>
      </c>
      <c r="Q492" s="2">
        <v>3.0515046296296297E-2</v>
      </c>
      <c r="T492" t="s">
        <v>886</v>
      </c>
      <c r="V492" s="2">
        <v>3.0679398148148147E-2</v>
      </c>
      <c r="W492" t="s">
        <v>32</v>
      </c>
      <c r="X492" t="s">
        <v>30</v>
      </c>
    </row>
    <row r="493" spans="1:24" x14ac:dyDescent="0.3">
      <c r="A493" t="s">
        <v>887</v>
      </c>
      <c r="B493" t="s">
        <v>25</v>
      </c>
      <c r="C493" t="s">
        <v>26</v>
      </c>
      <c r="D493">
        <v>7.57</v>
      </c>
      <c r="E493">
        <v>5.65</v>
      </c>
      <c r="F493">
        <v>7.57</v>
      </c>
      <c r="G493" t="s">
        <v>27</v>
      </c>
      <c r="H493">
        <v>1243810</v>
      </c>
      <c r="I493" t="s">
        <v>339</v>
      </c>
      <c r="J493" t="s">
        <v>29</v>
      </c>
      <c r="K493" t="s">
        <v>30</v>
      </c>
      <c r="M493" s="1">
        <v>45658</v>
      </c>
      <c r="O493" s="2">
        <v>3.0515046296296297E-2</v>
      </c>
      <c r="P493" t="s">
        <v>31</v>
      </c>
      <c r="Q493" s="2">
        <v>3.0515046296296297E-2</v>
      </c>
      <c r="T493" t="s">
        <v>888</v>
      </c>
      <c r="V493" s="2">
        <v>3.0679398148148147E-2</v>
      </c>
      <c r="W493" t="s">
        <v>32</v>
      </c>
      <c r="X493" t="s">
        <v>30</v>
      </c>
    </row>
    <row r="494" spans="1:24" x14ac:dyDescent="0.3">
      <c r="A494" t="s">
        <v>889</v>
      </c>
      <c r="B494" t="s">
        <v>25</v>
      </c>
      <c r="C494" t="s">
        <v>26</v>
      </c>
      <c r="D494">
        <v>-632.78</v>
      </c>
      <c r="E494">
        <v>-471.51</v>
      </c>
      <c r="F494">
        <v>-632.78</v>
      </c>
      <c r="G494" t="s">
        <v>27</v>
      </c>
      <c r="H494">
        <v>1243810</v>
      </c>
      <c r="I494" t="s">
        <v>339</v>
      </c>
      <c r="J494" t="s">
        <v>29</v>
      </c>
      <c r="K494" t="s">
        <v>30</v>
      </c>
      <c r="M494" s="1">
        <v>45658</v>
      </c>
      <c r="O494" s="2">
        <v>3.0515046296296297E-2</v>
      </c>
      <c r="P494" t="s">
        <v>31</v>
      </c>
      <c r="Q494" s="2">
        <v>3.0515046296296297E-2</v>
      </c>
      <c r="T494" t="s">
        <v>890</v>
      </c>
      <c r="V494" s="2">
        <v>3.0679398148148147E-2</v>
      </c>
      <c r="W494" t="s">
        <v>32</v>
      </c>
      <c r="X494" t="s">
        <v>30</v>
      </c>
    </row>
    <row r="495" spans="1:24" x14ac:dyDescent="0.3">
      <c r="A495" t="s">
        <v>891</v>
      </c>
      <c r="B495" t="s">
        <v>25</v>
      </c>
      <c r="C495" t="s">
        <v>26</v>
      </c>
      <c r="D495">
        <v>-1568.77</v>
      </c>
      <c r="E495">
        <v>-1149.28</v>
      </c>
      <c r="F495">
        <v>-1568.77</v>
      </c>
      <c r="G495" t="s">
        <v>27</v>
      </c>
      <c r="H495">
        <v>1243810</v>
      </c>
      <c r="I495" t="s">
        <v>339</v>
      </c>
      <c r="J495" t="s">
        <v>29</v>
      </c>
      <c r="K495" t="s">
        <v>30</v>
      </c>
      <c r="M495" s="1">
        <v>45658</v>
      </c>
      <c r="O495" s="2">
        <v>3.0515046296296297E-2</v>
      </c>
      <c r="P495" t="s">
        <v>31</v>
      </c>
      <c r="Q495" s="2">
        <v>3.0515046296296297E-2</v>
      </c>
      <c r="T495" t="s">
        <v>892</v>
      </c>
      <c r="V495" s="2">
        <v>3.0679398148148147E-2</v>
      </c>
      <c r="W495" t="s">
        <v>32</v>
      </c>
      <c r="X495" t="s">
        <v>30</v>
      </c>
    </row>
    <row r="496" spans="1:24" x14ac:dyDescent="0.3">
      <c r="A496" t="s">
        <v>893</v>
      </c>
      <c r="B496" t="s">
        <v>25</v>
      </c>
      <c r="C496" t="s">
        <v>26</v>
      </c>
      <c r="D496">
        <v>-143.69999999999999</v>
      </c>
      <c r="E496">
        <v>-107.27</v>
      </c>
      <c r="F496">
        <v>-143.69999999999999</v>
      </c>
      <c r="G496" t="s">
        <v>27</v>
      </c>
      <c r="H496">
        <v>1243810</v>
      </c>
      <c r="I496" t="s">
        <v>339</v>
      </c>
      <c r="J496" t="s">
        <v>29</v>
      </c>
      <c r="K496" t="s">
        <v>30</v>
      </c>
      <c r="M496" s="1">
        <v>45658</v>
      </c>
      <c r="O496" s="2">
        <v>3.0515046296296297E-2</v>
      </c>
      <c r="P496" t="s">
        <v>31</v>
      </c>
      <c r="Q496" s="2">
        <v>3.0515046296296297E-2</v>
      </c>
      <c r="T496" t="s">
        <v>894</v>
      </c>
      <c r="V496" s="2">
        <v>3.0679398148148147E-2</v>
      </c>
      <c r="W496" t="s">
        <v>32</v>
      </c>
      <c r="X496" t="s">
        <v>30</v>
      </c>
    </row>
    <row r="497" spans="1:24" x14ac:dyDescent="0.3">
      <c r="A497" t="s">
        <v>895</v>
      </c>
      <c r="B497" t="s">
        <v>25</v>
      </c>
      <c r="C497" t="s">
        <v>26</v>
      </c>
      <c r="D497">
        <v>-488.42</v>
      </c>
      <c r="E497">
        <v>-364.6</v>
      </c>
      <c r="F497">
        <v>-488.42</v>
      </c>
      <c r="G497" t="s">
        <v>27</v>
      </c>
      <c r="H497">
        <v>1243810</v>
      </c>
      <c r="I497" t="s">
        <v>339</v>
      </c>
      <c r="J497" t="s">
        <v>29</v>
      </c>
      <c r="K497" t="s">
        <v>30</v>
      </c>
      <c r="M497" s="1">
        <v>45658</v>
      </c>
      <c r="O497" s="2">
        <v>3.0515046296296297E-2</v>
      </c>
      <c r="P497" t="s">
        <v>31</v>
      </c>
      <c r="Q497" s="2">
        <v>3.0515046296296297E-2</v>
      </c>
      <c r="T497" t="s">
        <v>896</v>
      </c>
      <c r="V497" s="2">
        <v>3.0679398148148147E-2</v>
      </c>
      <c r="W497" t="s">
        <v>32</v>
      </c>
      <c r="X497" t="s">
        <v>30</v>
      </c>
    </row>
    <row r="498" spans="1:24" x14ac:dyDescent="0.3">
      <c r="A498" t="s">
        <v>897</v>
      </c>
      <c r="B498" t="s">
        <v>25</v>
      </c>
      <c r="C498" t="s">
        <v>26</v>
      </c>
      <c r="D498">
        <v>879.64</v>
      </c>
      <c r="E498">
        <v>694.69</v>
      </c>
      <c r="F498">
        <v>879.64</v>
      </c>
      <c r="G498" t="s">
        <v>27</v>
      </c>
      <c r="H498">
        <v>1243810</v>
      </c>
      <c r="I498" t="s">
        <v>339</v>
      </c>
      <c r="J498" t="s">
        <v>29</v>
      </c>
      <c r="K498" t="s">
        <v>30</v>
      </c>
      <c r="M498" s="1">
        <v>45658</v>
      </c>
      <c r="O498" s="2">
        <v>3.0515046296296297E-2</v>
      </c>
      <c r="P498" t="s">
        <v>31</v>
      </c>
      <c r="Q498" s="2">
        <v>3.0515046296296297E-2</v>
      </c>
      <c r="T498" t="s">
        <v>898</v>
      </c>
      <c r="V498" s="2">
        <v>3.0679398148148147E-2</v>
      </c>
      <c r="W498" t="s">
        <v>32</v>
      </c>
      <c r="X498" t="s">
        <v>30</v>
      </c>
    </row>
    <row r="499" spans="1:24" x14ac:dyDescent="0.3">
      <c r="A499" t="s">
        <v>899</v>
      </c>
      <c r="B499" t="s">
        <v>25</v>
      </c>
      <c r="C499" t="s">
        <v>26</v>
      </c>
      <c r="D499">
        <v>7.82</v>
      </c>
      <c r="E499">
        <v>5.84</v>
      </c>
      <c r="F499">
        <v>7.82</v>
      </c>
      <c r="G499" t="s">
        <v>27</v>
      </c>
      <c r="H499">
        <v>1243810</v>
      </c>
      <c r="I499" t="s">
        <v>339</v>
      </c>
      <c r="J499" t="s">
        <v>29</v>
      </c>
      <c r="K499" t="s">
        <v>30</v>
      </c>
      <c r="M499" s="1">
        <v>45658</v>
      </c>
      <c r="O499" s="2">
        <v>3.0515046296296297E-2</v>
      </c>
      <c r="P499" t="s">
        <v>31</v>
      </c>
      <c r="Q499" s="2">
        <v>3.0515046296296297E-2</v>
      </c>
      <c r="T499" t="s">
        <v>900</v>
      </c>
      <c r="V499" s="2">
        <v>3.0679398148148147E-2</v>
      </c>
      <c r="W499" t="s">
        <v>32</v>
      </c>
      <c r="X499" t="s">
        <v>30</v>
      </c>
    </row>
    <row r="500" spans="1:24" x14ac:dyDescent="0.3">
      <c r="A500" t="s">
        <v>901</v>
      </c>
      <c r="B500" t="s">
        <v>25</v>
      </c>
      <c r="C500" t="s">
        <v>26</v>
      </c>
      <c r="D500">
        <v>2.4900000000000002</v>
      </c>
      <c r="E500">
        <v>-3.8</v>
      </c>
      <c r="F500">
        <v>2.4900000000000002</v>
      </c>
      <c r="G500" t="s">
        <v>27</v>
      </c>
      <c r="H500">
        <v>1243810</v>
      </c>
      <c r="I500" t="s">
        <v>339</v>
      </c>
      <c r="J500" t="s">
        <v>29</v>
      </c>
      <c r="K500" t="s">
        <v>30</v>
      </c>
      <c r="M500" s="1">
        <v>45658</v>
      </c>
      <c r="O500" s="2">
        <v>3.0515046296296297E-2</v>
      </c>
      <c r="P500" t="s">
        <v>31</v>
      </c>
      <c r="Q500" s="2">
        <v>3.0515046296296297E-2</v>
      </c>
      <c r="T500" t="s">
        <v>902</v>
      </c>
      <c r="V500" s="2">
        <v>3.0679398148148147E-2</v>
      </c>
      <c r="W500" t="s">
        <v>32</v>
      </c>
      <c r="X500" t="s">
        <v>30</v>
      </c>
    </row>
    <row r="501" spans="1:24" x14ac:dyDescent="0.3">
      <c r="A501" t="s">
        <v>903</v>
      </c>
      <c r="B501" t="s">
        <v>25</v>
      </c>
      <c r="C501" t="s">
        <v>26</v>
      </c>
      <c r="D501">
        <v>-441.11</v>
      </c>
      <c r="E501">
        <v>-327.22000000000003</v>
      </c>
      <c r="F501">
        <v>-441.11</v>
      </c>
      <c r="G501" t="s">
        <v>27</v>
      </c>
      <c r="H501">
        <v>1243810</v>
      </c>
      <c r="I501" t="s">
        <v>339</v>
      </c>
      <c r="J501" t="s">
        <v>29</v>
      </c>
      <c r="K501" t="s">
        <v>30</v>
      </c>
      <c r="M501" s="1">
        <v>45658</v>
      </c>
      <c r="O501" s="2">
        <v>3.0515046296296297E-2</v>
      </c>
      <c r="P501" t="s">
        <v>31</v>
      </c>
      <c r="Q501" s="2">
        <v>3.0515046296296297E-2</v>
      </c>
      <c r="T501" t="s">
        <v>904</v>
      </c>
      <c r="V501" s="2">
        <v>3.0679398148148147E-2</v>
      </c>
      <c r="W501" t="s">
        <v>32</v>
      </c>
      <c r="X501" t="s">
        <v>30</v>
      </c>
    </row>
    <row r="502" spans="1:24" x14ac:dyDescent="0.3">
      <c r="A502" t="s">
        <v>905</v>
      </c>
      <c r="B502" t="s">
        <v>25</v>
      </c>
      <c r="C502" t="s">
        <v>26</v>
      </c>
      <c r="D502">
        <v>-89.46</v>
      </c>
      <c r="E502">
        <v>-66.78</v>
      </c>
      <c r="F502">
        <v>-89.46</v>
      </c>
      <c r="G502" t="s">
        <v>27</v>
      </c>
      <c r="H502">
        <v>1243810</v>
      </c>
      <c r="I502" t="s">
        <v>339</v>
      </c>
      <c r="J502" t="s">
        <v>29</v>
      </c>
      <c r="K502" t="s">
        <v>30</v>
      </c>
      <c r="M502" s="1">
        <v>45658</v>
      </c>
      <c r="O502" s="2">
        <v>3.0515046296296297E-2</v>
      </c>
      <c r="P502" t="s">
        <v>31</v>
      </c>
      <c r="Q502" s="2">
        <v>3.0515046296296297E-2</v>
      </c>
      <c r="T502" t="s">
        <v>906</v>
      </c>
      <c r="V502" s="2">
        <v>3.0679398148148147E-2</v>
      </c>
      <c r="W502" t="s">
        <v>32</v>
      </c>
      <c r="X502" t="s">
        <v>30</v>
      </c>
    </row>
    <row r="503" spans="1:24" x14ac:dyDescent="0.3">
      <c r="A503" t="s">
        <v>907</v>
      </c>
      <c r="B503" t="s">
        <v>25</v>
      </c>
      <c r="C503" t="s">
        <v>26</v>
      </c>
      <c r="D503">
        <v>-130.16</v>
      </c>
      <c r="E503">
        <v>-139.38999999999999</v>
      </c>
      <c r="F503">
        <v>-130.16</v>
      </c>
      <c r="G503" t="s">
        <v>27</v>
      </c>
      <c r="H503">
        <v>1243810</v>
      </c>
      <c r="I503" t="s">
        <v>339</v>
      </c>
      <c r="J503" t="s">
        <v>29</v>
      </c>
      <c r="K503" t="s">
        <v>30</v>
      </c>
      <c r="M503" s="1">
        <v>45658</v>
      </c>
      <c r="O503" s="2">
        <v>3.0515046296296297E-2</v>
      </c>
      <c r="P503" t="s">
        <v>31</v>
      </c>
      <c r="Q503" s="2">
        <v>3.0515046296296297E-2</v>
      </c>
      <c r="T503" t="s">
        <v>908</v>
      </c>
      <c r="V503" s="2">
        <v>3.0679398148148147E-2</v>
      </c>
      <c r="W503" t="s">
        <v>32</v>
      </c>
      <c r="X503" t="s">
        <v>30</v>
      </c>
    </row>
    <row r="504" spans="1:24" x14ac:dyDescent="0.3">
      <c r="A504" t="s">
        <v>909</v>
      </c>
      <c r="B504" t="s">
        <v>25</v>
      </c>
      <c r="C504" t="s">
        <v>26</v>
      </c>
      <c r="D504">
        <v>-1798.13</v>
      </c>
      <c r="E504">
        <v>-1342.29</v>
      </c>
      <c r="F504">
        <v>-1798.13</v>
      </c>
      <c r="G504" t="s">
        <v>27</v>
      </c>
      <c r="H504">
        <v>1243810</v>
      </c>
      <c r="I504" t="s">
        <v>339</v>
      </c>
      <c r="J504" t="s">
        <v>29</v>
      </c>
      <c r="K504" t="s">
        <v>30</v>
      </c>
      <c r="M504" s="1">
        <v>45658</v>
      </c>
      <c r="O504" s="2">
        <v>3.0515046296296297E-2</v>
      </c>
      <c r="P504" t="s">
        <v>31</v>
      </c>
      <c r="Q504" s="2">
        <v>3.0515046296296297E-2</v>
      </c>
      <c r="T504" t="s">
        <v>910</v>
      </c>
      <c r="V504" s="2">
        <v>3.0679398148148147E-2</v>
      </c>
      <c r="W504" t="s">
        <v>32</v>
      </c>
      <c r="X504" t="s">
        <v>30</v>
      </c>
    </row>
    <row r="505" spans="1:24" x14ac:dyDescent="0.3">
      <c r="A505" t="s">
        <v>911</v>
      </c>
      <c r="B505" t="s">
        <v>25</v>
      </c>
      <c r="C505" t="s">
        <v>26</v>
      </c>
      <c r="D505">
        <v>-603.22</v>
      </c>
      <c r="E505">
        <v>-472.92</v>
      </c>
      <c r="F505">
        <v>-603.22</v>
      </c>
      <c r="G505" t="s">
        <v>27</v>
      </c>
      <c r="H505">
        <v>1243810</v>
      </c>
      <c r="I505" t="s">
        <v>339</v>
      </c>
      <c r="J505" t="s">
        <v>29</v>
      </c>
      <c r="K505" t="s">
        <v>30</v>
      </c>
      <c r="M505" s="1">
        <v>45658</v>
      </c>
      <c r="O505" s="2">
        <v>3.0515046296296297E-2</v>
      </c>
      <c r="P505" t="s">
        <v>31</v>
      </c>
      <c r="Q505" s="2">
        <v>3.0515046296296297E-2</v>
      </c>
      <c r="T505" t="s">
        <v>912</v>
      </c>
      <c r="V505" s="2">
        <v>3.0679398148148147E-2</v>
      </c>
      <c r="W505" t="s">
        <v>32</v>
      </c>
      <c r="X505" t="s">
        <v>30</v>
      </c>
    </row>
    <row r="506" spans="1:24" x14ac:dyDescent="0.3">
      <c r="A506" t="s">
        <v>913</v>
      </c>
      <c r="B506" t="s">
        <v>366</v>
      </c>
      <c r="C506" t="s">
        <v>26</v>
      </c>
      <c r="D506">
        <v>-150175.4</v>
      </c>
      <c r="E506">
        <v>-112250</v>
      </c>
      <c r="F506">
        <v>-150175.4</v>
      </c>
      <c r="H506">
        <v>3302000</v>
      </c>
      <c r="I506" t="s">
        <v>279</v>
      </c>
      <c r="J506" t="s">
        <v>29</v>
      </c>
      <c r="K506" t="s">
        <v>30</v>
      </c>
      <c r="M506" s="1">
        <v>45658</v>
      </c>
      <c r="O506" s="2">
        <v>3.0515046296296297E-2</v>
      </c>
      <c r="P506" t="s">
        <v>31</v>
      </c>
      <c r="Q506" s="2">
        <v>3.0515046296296297E-2</v>
      </c>
      <c r="T506" t="s">
        <v>833</v>
      </c>
      <c r="V506" s="2">
        <v>3.0679398148148147E-2</v>
      </c>
      <c r="W506" t="s">
        <v>32</v>
      </c>
      <c r="X506" t="s">
        <v>368</v>
      </c>
    </row>
    <row r="507" spans="1:24" x14ac:dyDescent="0.3">
      <c r="A507" t="s">
        <v>914</v>
      </c>
      <c r="B507" t="s">
        <v>366</v>
      </c>
      <c r="C507" t="s">
        <v>26</v>
      </c>
      <c r="D507">
        <v>-237634.92</v>
      </c>
      <c r="E507">
        <v>-177999.96</v>
      </c>
      <c r="F507">
        <v>-237634.92</v>
      </c>
      <c r="H507">
        <v>3302000</v>
      </c>
      <c r="I507" t="s">
        <v>279</v>
      </c>
      <c r="J507" t="s">
        <v>29</v>
      </c>
      <c r="K507" t="s">
        <v>30</v>
      </c>
      <c r="M507" s="1">
        <v>45658</v>
      </c>
      <c r="O507" s="2">
        <v>3.0515046296296297E-2</v>
      </c>
      <c r="P507" t="s">
        <v>31</v>
      </c>
      <c r="Q507" s="2">
        <v>3.0515046296296297E-2</v>
      </c>
      <c r="T507" t="s">
        <v>837</v>
      </c>
      <c r="V507" s="2">
        <v>3.0679398148148147E-2</v>
      </c>
      <c r="W507" t="s">
        <v>32</v>
      </c>
      <c r="X507" t="s">
        <v>368</v>
      </c>
    </row>
    <row r="508" spans="1:24" x14ac:dyDescent="0.3">
      <c r="A508" t="s">
        <v>915</v>
      </c>
      <c r="B508" t="s">
        <v>366</v>
      </c>
      <c r="C508" t="s">
        <v>26</v>
      </c>
      <c r="D508">
        <v>-226211.49</v>
      </c>
      <c r="E508">
        <v>-169351.92</v>
      </c>
      <c r="F508">
        <v>-226211.49</v>
      </c>
      <c r="H508">
        <v>3302000</v>
      </c>
      <c r="I508" t="s">
        <v>279</v>
      </c>
      <c r="J508" t="s">
        <v>29</v>
      </c>
      <c r="K508" t="s">
        <v>30</v>
      </c>
      <c r="M508" s="1">
        <v>45658</v>
      </c>
      <c r="O508" s="2">
        <v>3.0515046296296297E-2</v>
      </c>
      <c r="P508" t="s">
        <v>31</v>
      </c>
      <c r="Q508" s="2">
        <v>3.0515046296296297E-2</v>
      </c>
      <c r="T508" t="s">
        <v>839</v>
      </c>
      <c r="V508" s="2">
        <v>3.0679398148148147E-2</v>
      </c>
      <c r="W508" t="s">
        <v>32</v>
      </c>
      <c r="X508" t="s">
        <v>368</v>
      </c>
    </row>
    <row r="509" spans="1:24" x14ac:dyDescent="0.3">
      <c r="A509" t="s">
        <v>916</v>
      </c>
      <c r="B509" t="s">
        <v>366</v>
      </c>
      <c r="C509" t="s">
        <v>26</v>
      </c>
      <c r="D509">
        <v>-108680.51</v>
      </c>
      <c r="E509">
        <v>-80712.38</v>
      </c>
      <c r="F509">
        <v>-108680.51</v>
      </c>
      <c r="H509">
        <v>3302000</v>
      </c>
      <c r="I509" t="s">
        <v>279</v>
      </c>
      <c r="J509" t="s">
        <v>29</v>
      </c>
      <c r="K509" t="s">
        <v>30</v>
      </c>
      <c r="M509" s="1">
        <v>45658</v>
      </c>
      <c r="O509" s="2">
        <v>3.0515046296296297E-2</v>
      </c>
      <c r="P509" t="s">
        <v>31</v>
      </c>
      <c r="Q509" s="2">
        <v>3.0515046296296297E-2</v>
      </c>
      <c r="T509" t="s">
        <v>845</v>
      </c>
      <c r="V509" s="2">
        <v>3.0679398148148147E-2</v>
      </c>
      <c r="W509" t="s">
        <v>32</v>
      </c>
      <c r="X509" t="s">
        <v>368</v>
      </c>
    </row>
    <row r="510" spans="1:24" x14ac:dyDescent="0.3">
      <c r="A510" t="s">
        <v>917</v>
      </c>
      <c r="B510" t="s">
        <v>366</v>
      </c>
      <c r="C510" t="s">
        <v>26</v>
      </c>
      <c r="D510">
        <v>-120661</v>
      </c>
      <c r="E510">
        <v>-90000</v>
      </c>
      <c r="F510">
        <v>-120661</v>
      </c>
      <c r="H510">
        <v>3302000</v>
      </c>
      <c r="I510" t="s">
        <v>279</v>
      </c>
      <c r="J510" t="s">
        <v>29</v>
      </c>
      <c r="K510" t="s">
        <v>30</v>
      </c>
      <c r="M510" s="1">
        <v>45658</v>
      </c>
      <c r="O510" s="2">
        <v>3.0515046296296297E-2</v>
      </c>
      <c r="P510" t="s">
        <v>31</v>
      </c>
      <c r="Q510" s="2">
        <v>3.0515046296296297E-2</v>
      </c>
      <c r="T510" t="s">
        <v>861</v>
      </c>
      <c r="V510" s="2">
        <v>3.0679398148148147E-2</v>
      </c>
      <c r="W510" t="s">
        <v>32</v>
      </c>
      <c r="X510" t="s">
        <v>368</v>
      </c>
    </row>
    <row r="511" spans="1:24" x14ac:dyDescent="0.3">
      <c r="A511" t="s">
        <v>918</v>
      </c>
      <c r="B511" t="s">
        <v>366</v>
      </c>
      <c r="C511" t="s">
        <v>26</v>
      </c>
      <c r="D511">
        <v>-150534.42000000001</v>
      </c>
      <c r="E511">
        <v>-112800</v>
      </c>
      <c r="F511">
        <v>-150534.42000000001</v>
      </c>
      <c r="H511">
        <v>3302000</v>
      </c>
      <c r="I511" t="s">
        <v>279</v>
      </c>
      <c r="J511" t="s">
        <v>29</v>
      </c>
      <c r="K511" t="s">
        <v>30</v>
      </c>
      <c r="M511" s="1">
        <v>45658</v>
      </c>
      <c r="O511" s="2">
        <v>3.0515046296296297E-2</v>
      </c>
      <c r="P511" t="s">
        <v>31</v>
      </c>
      <c r="Q511" s="2">
        <v>3.0515046296296297E-2</v>
      </c>
      <c r="T511" t="s">
        <v>863</v>
      </c>
      <c r="V511" s="2">
        <v>3.0679398148148147E-2</v>
      </c>
      <c r="W511" t="s">
        <v>32</v>
      </c>
      <c r="X511" t="s">
        <v>368</v>
      </c>
    </row>
    <row r="512" spans="1:24" x14ac:dyDescent="0.3">
      <c r="A512" t="s">
        <v>919</v>
      </c>
      <c r="B512" t="s">
        <v>366</v>
      </c>
      <c r="C512" t="s">
        <v>26</v>
      </c>
      <c r="D512">
        <v>-76529.070000000007</v>
      </c>
      <c r="E512">
        <v>-56980</v>
      </c>
      <c r="F512">
        <v>-76529.070000000007</v>
      </c>
      <c r="H512">
        <v>3302000</v>
      </c>
      <c r="I512" t="s">
        <v>279</v>
      </c>
      <c r="J512" t="s">
        <v>29</v>
      </c>
      <c r="K512" t="s">
        <v>30</v>
      </c>
      <c r="M512" s="1">
        <v>45658</v>
      </c>
      <c r="O512" s="2">
        <v>3.0515046296296297E-2</v>
      </c>
      <c r="P512" t="s">
        <v>31</v>
      </c>
      <c r="Q512" s="2">
        <v>3.0515046296296297E-2</v>
      </c>
      <c r="T512" t="s">
        <v>865</v>
      </c>
      <c r="V512" s="2">
        <v>3.0679398148148147E-2</v>
      </c>
      <c r="W512" t="s">
        <v>32</v>
      </c>
      <c r="X512" t="s">
        <v>368</v>
      </c>
    </row>
    <row r="513" spans="1:24" x14ac:dyDescent="0.3">
      <c r="A513" t="s">
        <v>920</v>
      </c>
      <c r="B513" t="s">
        <v>366</v>
      </c>
      <c r="C513" t="s">
        <v>26</v>
      </c>
      <c r="D513">
        <v>-134617.41</v>
      </c>
      <c r="E513">
        <v>-100758.58</v>
      </c>
      <c r="F513">
        <v>-134617.41</v>
      </c>
      <c r="H513">
        <v>3302000</v>
      </c>
      <c r="I513" t="s">
        <v>279</v>
      </c>
      <c r="J513" t="s">
        <v>29</v>
      </c>
      <c r="K513" t="s">
        <v>30</v>
      </c>
      <c r="M513" s="1">
        <v>45658</v>
      </c>
      <c r="O513" s="2">
        <v>3.0515046296296297E-2</v>
      </c>
      <c r="P513" t="s">
        <v>31</v>
      </c>
      <c r="Q513" s="2">
        <v>3.0515046296296297E-2</v>
      </c>
      <c r="T513" t="s">
        <v>438</v>
      </c>
      <c r="V513" s="2">
        <v>3.0679398148148147E-2</v>
      </c>
      <c r="W513" t="s">
        <v>32</v>
      </c>
      <c r="X513" t="s">
        <v>368</v>
      </c>
    </row>
    <row r="514" spans="1:24" x14ac:dyDescent="0.3">
      <c r="A514" t="s">
        <v>921</v>
      </c>
      <c r="B514" t="s">
        <v>366</v>
      </c>
      <c r="C514" t="s">
        <v>26</v>
      </c>
      <c r="D514">
        <v>-132769.32999999999</v>
      </c>
      <c r="E514">
        <v>-99487.93</v>
      </c>
      <c r="F514">
        <v>-132769.32999999999</v>
      </c>
      <c r="H514">
        <v>3302000</v>
      </c>
      <c r="I514" t="s">
        <v>279</v>
      </c>
      <c r="J514" t="s">
        <v>29</v>
      </c>
      <c r="K514" t="s">
        <v>30</v>
      </c>
      <c r="M514" s="1">
        <v>45658</v>
      </c>
      <c r="O514" s="2">
        <v>3.0515046296296297E-2</v>
      </c>
      <c r="P514" t="s">
        <v>31</v>
      </c>
      <c r="Q514" s="2">
        <v>3.0515046296296297E-2</v>
      </c>
      <c r="T514" t="s">
        <v>922</v>
      </c>
      <c r="V514" s="2">
        <v>3.0679398148148147E-2</v>
      </c>
      <c r="W514" t="s">
        <v>32</v>
      </c>
      <c r="X514" t="s">
        <v>368</v>
      </c>
    </row>
    <row r="515" spans="1:24" x14ac:dyDescent="0.3">
      <c r="A515" t="s">
        <v>923</v>
      </c>
      <c r="B515" t="s">
        <v>366</v>
      </c>
      <c r="C515" t="s">
        <v>26</v>
      </c>
      <c r="D515">
        <v>-144128.70000000001</v>
      </c>
      <c r="E515">
        <v>-108000</v>
      </c>
      <c r="F515">
        <v>-144128.70000000001</v>
      </c>
      <c r="H515">
        <v>3302000</v>
      </c>
      <c r="I515" t="s">
        <v>279</v>
      </c>
      <c r="J515" t="s">
        <v>29</v>
      </c>
      <c r="K515" t="s">
        <v>30</v>
      </c>
      <c r="M515" s="1">
        <v>45658</v>
      </c>
      <c r="O515" s="2">
        <v>3.0515046296296297E-2</v>
      </c>
      <c r="P515" t="s">
        <v>31</v>
      </c>
      <c r="Q515" s="2">
        <v>3.0515046296296297E-2</v>
      </c>
      <c r="T515" t="s">
        <v>924</v>
      </c>
      <c r="V515" s="2">
        <v>3.0679398148148147E-2</v>
      </c>
      <c r="W515" t="s">
        <v>32</v>
      </c>
      <c r="X515" t="s">
        <v>368</v>
      </c>
    </row>
    <row r="516" spans="1:24" x14ac:dyDescent="0.3">
      <c r="A516" t="s">
        <v>925</v>
      </c>
      <c r="B516" t="s">
        <v>25</v>
      </c>
      <c r="C516" t="s">
        <v>26</v>
      </c>
      <c r="D516">
        <v>-1760.2</v>
      </c>
      <c r="E516">
        <v>-1313.97</v>
      </c>
      <c r="F516">
        <v>-1760.2</v>
      </c>
      <c r="G516" t="s">
        <v>27</v>
      </c>
      <c r="H516">
        <v>1243810</v>
      </c>
      <c r="I516" t="s">
        <v>339</v>
      </c>
      <c r="J516" t="s">
        <v>29</v>
      </c>
      <c r="K516" t="s">
        <v>30</v>
      </c>
      <c r="M516" s="1">
        <v>45658</v>
      </c>
      <c r="O516" s="2">
        <v>3.0515046296296297E-2</v>
      </c>
      <c r="P516" t="s">
        <v>31</v>
      </c>
      <c r="Q516" s="2">
        <v>3.0515046296296297E-2</v>
      </c>
      <c r="T516" t="s">
        <v>926</v>
      </c>
      <c r="V516" s="2">
        <v>3.0679398148148147E-2</v>
      </c>
      <c r="W516" t="s">
        <v>32</v>
      </c>
      <c r="X516" t="s">
        <v>30</v>
      </c>
    </row>
    <row r="517" spans="1:24" x14ac:dyDescent="0.3">
      <c r="A517" t="s">
        <v>927</v>
      </c>
      <c r="B517" t="s">
        <v>25</v>
      </c>
      <c r="C517" t="s">
        <v>26</v>
      </c>
      <c r="D517">
        <v>-95693.34</v>
      </c>
      <c r="E517">
        <v>-70456</v>
      </c>
      <c r="F517">
        <v>-95693.34</v>
      </c>
      <c r="G517" t="s">
        <v>38</v>
      </c>
      <c r="H517">
        <v>3065047</v>
      </c>
      <c r="I517" t="s">
        <v>928</v>
      </c>
      <c r="J517" t="s">
        <v>29</v>
      </c>
      <c r="K517" t="s">
        <v>30</v>
      </c>
      <c r="M517" s="1">
        <v>45658</v>
      </c>
      <c r="O517" s="2">
        <v>3.0515046296296297E-2</v>
      </c>
      <c r="P517" t="s">
        <v>31</v>
      </c>
      <c r="Q517" s="2">
        <v>3.0515046296296297E-2</v>
      </c>
      <c r="V517" s="2">
        <v>3.0679398148148147E-2</v>
      </c>
      <c r="W517" t="s">
        <v>32</v>
      </c>
      <c r="X517" t="s">
        <v>30</v>
      </c>
    </row>
    <row r="518" spans="1:24" x14ac:dyDescent="0.3">
      <c r="A518" t="s">
        <v>929</v>
      </c>
      <c r="B518" t="s">
        <v>366</v>
      </c>
      <c r="C518" t="s">
        <v>26</v>
      </c>
      <c r="D518">
        <v>41696.25</v>
      </c>
      <c r="E518">
        <v>30065.279999999999</v>
      </c>
      <c r="F518">
        <v>41696.25</v>
      </c>
      <c r="H518">
        <v>3302000</v>
      </c>
      <c r="I518" t="s">
        <v>279</v>
      </c>
      <c r="J518" t="s">
        <v>29</v>
      </c>
      <c r="K518" t="s">
        <v>30</v>
      </c>
      <c r="M518" s="1">
        <v>45658</v>
      </c>
      <c r="O518" s="2">
        <v>3.0515046296296297E-2</v>
      </c>
      <c r="P518" t="s">
        <v>31</v>
      </c>
      <c r="Q518" s="2">
        <v>3.0515046296296297E-2</v>
      </c>
      <c r="T518" t="s">
        <v>930</v>
      </c>
      <c r="V518" s="2">
        <v>3.0679398148148147E-2</v>
      </c>
      <c r="W518" t="s">
        <v>32</v>
      </c>
      <c r="X518" t="s">
        <v>368</v>
      </c>
    </row>
    <row r="519" spans="1:24" x14ac:dyDescent="0.3">
      <c r="A519" t="s">
        <v>931</v>
      </c>
      <c r="B519" t="s">
        <v>366</v>
      </c>
      <c r="C519" t="s">
        <v>26</v>
      </c>
      <c r="D519">
        <v>-76763.78</v>
      </c>
      <c r="E519">
        <v>-57032.25</v>
      </c>
      <c r="F519">
        <v>-76763.78</v>
      </c>
      <c r="H519">
        <v>3302000</v>
      </c>
      <c r="I519" t="s">
        <v>279</v>
      </c>
      <c r="J519" t="s">
        <v>29</v>
      </c>
      <c r="K519" t="s">
        <v>30</v>
      </c>
      <c r="M519" s="1">
        <v>45658</v>
      </c>
      <c r="O519" s="2">
        <v>3.0515046296296297E-2</v>
      </c>
      <c r="P519" t="s">
        <v>31</v>
      </c>
      <c r="Q519" s="2">
        <v>3.0515046296296297E-2</v>
      </c>
      <c r="T519" t="s">
        <v>444</v>
      </c>
      <c r="V519" s="2">
        <v>3.0679398148148147E-2</v>
      </c>
      <c r="W519" t="s">
        <v>32</v>
      </c>
      <c r="X519" t="s">
        <v>368</v>
      </c>
    </row>
    <row r="520" spans="1:24" x14ac:dyDescent="0.3">
      <c r="A520" t="s">
        <v>932</v>
      </c>
      <c r="B520" t="s">
        <v>366</v>
      </c>
      <c r="C520" t="s">
        <v>26</v>
      </c>
      <c r="D520">
        <v>-170865.87</v>
      </c>
      <c r="E520">
        <v>-127500</v>
      </c>
      <c r="F520">
        <v>-170865.87</v>
      </c>
      <c r="H520">
        <v>3302000</v>
      </c>
      <c r="I520" t="s">
        <v>279</v>
      </c>
      <c r="J520" t="s">
        <v>29</v>
      </c>
      <c r="K520" t="s">
        <v>30</v>
      </c>
      <c r="M520" s="1">
        <v>45658</v>
      </c>
      <c r="O520" s="2">
        <v>3.0515046296296297E-2</v>
      </c>
      <c r="P520" t="s">
        <v>31</v>
      </c>
      <c r="Q520" s="2">
        <v>3.0515046296296297E-2</v>
      </c>
      <c r="T520" t="s">
        <v>933</v>
      </c>
      <c r="V520" s="2">
        <v>3.0679398148148147E-2</v>
      </c>
      <c r="W520" t="s">
        <v>32</v>
      </c>
      <c r="X520" t="s">
        <v>368</v>
      </c>
    </row>
    <row r="521" spans="1:24" x14ac:dyDescent="0.3">
      <c r="A521" t="s">
        <v>934</v>
      </c>
      <c r="B521" t="s">
        <v>366</v>
      </c>
      <c r="C521" t="s">
        <v>26</v>
      </c>
      <c r="D521">
        <v>-31571.8</v>
      </c>
      <c r="E521">
        <v>-24166.66</v>
      </c>
      <c r="F521">
        <v>-31571.8</v>
      </c>
      <c r="H521">
        <v>3302000</v>
      </c>
      <c r="I521" t="s">
        <v>279</v>
      </c>
      <c r="J521" t="s">
        <v>29</v>
      </c>
      <c r="K521" t="s">
        <v>30</v>
      </c>
      <c r="M521" s="1">
        <v>45658</v>
      </c>
      <c r="O521" s="2">
        <v>3.0515046296296297E-2</v>
      </c>
      <c r="P521" t="s">
        <v>31</v>
      </c>
      <c r="Q521" s="2">
        <v>3.0515046296296297E-2</v>
      </c>
      <c r="T521" t="s">
        <v>886</v>
      </c>
      <c r="V521" s="2">
        <v>3.0679398148148147E-2</v>
      </c>
      <c r="W521" t="s">
        <v>32</v>
      </c>
      <c r="X521" t="s">
        <v>368</v>
      </c>
    </row>
    <row r="522" spans="1:24" x14ac:dyDescent="0.3">
      <c r="A522" t="s">
        <v>935</v>
      </c>
      <c r="B522" t="s">
        <v>366</v>
      </c>
      <c r="C522" t="s">
        <v>26</v>
      </c>
      <c r="D522">
        <v>-130217.34</v>
      </c>
      <c r="E522">
        <v>-97128</v>
      </c>
      <c r="F522">
        <v>-130217.34</v>
      </c>
      <c r="H522">
        <v>3302000</v>
      </c>
      <c r="I522" t="s">
        <v>279</v>
      </c>
      <c r="J522" t="s">
        <v>29</v>
      </c>
      <c r="K522" t="s">
        <v>30</v>
      </c>
      <c r="M522" s="1">
        <v>45658</v>
      </c>
      <c r="O522" s="2">
        <v>3.0515046296296297E-2</v>
      </c>
      <c r="P522" t="s">
        <v>31</v>
      </c>
      <c r="Q522" s="2">
        <v>3.0515046296296297E-2</v>
      </c>
      <c r="T522" t="s">
        <v>890</v>
      </c>
      <c r="V522" s="2">
        <v>3.0679398148148147E-2</v>
      </c>
      <c r="W522" t="s">
        <v>32</v>
      </c>
      <c r="X522" t="s">
        <v>368</v>
      </c>
    </row>
    <row r="523" spans="1:24" x14ac:dyDescent="0.3">
      <c r="A523" t="s">
        <v>936</v>
      </c>
      <c r="B523" t="s">
        <v>366</v>
      </c>
      <c r="C523" t="s">
        <v>26</v>
      </c>
      <c r="D523">
        <v>-201307.35</v>
      </c>
      <c r="E523">
        <v>-150858.59</v>
      </c>
      <c r="F523">
        <v>-201307.35</v>
      </c>
      <c r="H523">
        <v>3302000</v>
      </c>
      <c r="I523" t="s">
        <v>279</v>
      </c>
      <c r="J523" t="s">
        <v>29</v>
      </c>
      <c r="K523" t="s">
        <v>30</v>
      </c>
      <c r="M523" s="1">
        <v>45658</v>
      </c>
      <c r="O523" s="2">
        <v>3.0515046296296297E-2</v>
      </c>
      <c r="P523" t="s">
        <v>31</v>
      </c>
      <c r="Q523" s="2">
        <v>3.0515046296296297E-2</v>
      </c>
      <c r="T523" t="s">
        <v>892</v>
      </c>
      <c r="V523" s="2">
        <v>3.0679398148148147E-2</v>
      </c>
      <c r="W523" t="s">
        <v>32</v>
      </c>
      <c r="X523" t="s">
        <v>368</v>
      </c>
    </row>
    <row r="524" spans="1:24" x14ac:dyDescent="0.3">
      <c r="A524" t="s">
        <v>937</v>
      </c>
      <c r="B524" t="s">
        <v>366</v>
      </c>
      <c r="C524" t="s">
        <v>26</v>
      </c>
      <c r="D524">
        <v>-142794.22</v>
      </c>
      <c r="E524">
        <v>-107000.04</v>
      </c>
      <c r="F524">
        <v>-142794.22</v>
      </c>
      <c r="H524">
        <v>3302000</v>
      </c>
      <c r="I524" t="s">
        <v>279</v>
      </c>
      <c r="J524" t="s">
        <v>29</v>
      </c>
      <c r="K524" t="s">
        <v>30</v>
      </c>
      <c r="M524" s="1">
        <v>45658</v>
      </c>
      <c r="O524" s="2">
        <v>3.0515046296296297E-2</v>
      </c>
      <c r="P524" t="s">
        <v>31</v>
      </c>
      <c r="Q524" s="2">
        <v>3.0515046296296297E-2</v>
      </c>
      <c r="T524" t="s">
        <v>448</v>
      </c>
      <c r="V524" s="2">
        <v>3.0679398148148147E-2</v>
      </c>
      <c r="W524" t="s">
        <v>32</v>
      </c>
      <c r="X524" t="s">
        <v>368</v>
      </c>
    </row>
    <row r="525" spans="1:24" x14ac:dyDescent="0.3">
      <c r="A525" t="s">
        <v>938</v>
      </c>
      <c r="B525" t="s">
        <v>366</v>
      </c>
      <c r="C525" t="s">
        <v>26</v>
      </c>
      <c r="D525">
        <v>-150534.42000000001</v>
      </c>
      <c r="E525">
        <v>-112800</v>
      </c>
      <c r="F525">
        <v>-150534.42000000001</v>
      </c>
      <c r="H525">
        <v>3302000</v>
      </c>
      <c r="I525" t="s">
        <v>279</v>
      </c>
      <c r="J525" t="s">
        <v>29</v>
      </c>
      <c r="K525" t="s">
        <v>30</v>
      </c>
      <c r="M525" s="1">
        <v>45658</v>
      </c>
      <c r="O525" s="2">
        <v>3.0515046296296297E-2</v>
      </c>
      <c r="P525" t="s">
        <v>31</v>
      </c>
      <c r="Q525" s="2">
        <v>3.0515046296296297E-2</v>
      </c>
      <c r="T525" t="s">
        <v>904</v>
      </c>
      <c r="V525" s="2">
        <v>3.0679398148148147E-2</v>
      </c>
      <c r="W525" t="s">
        <v>32</v>
      </c>
      <c r="X525" t="s">
        <v>368</v>
      </c>
    </row>
    <row r="526" spans="1:24" x14ac:dyDescent="0.3">
      <c r="A526" t="s">
        <v>939</v>
      </c>
      <c r="B526" t="s">
        <v>366</v>
      </c>
      <c r="C526" t="s">
        <v>26</v>
      </c>
      <c r="D526">
        <v>-103920.28</v>
      </c>
      <c r="E526">
        <v>-77774.19</v>
      </c>
      <c r="F526">
        <v>-103920.28</v>
      </c>
      <c r="H526">
        <v>3302000</v>
      </c>
      <c r="I526" t="s">
        <v>279</v>
      </c>
      <c r="J526" t="s">
        <v>29</v>
      </c>
      <c r="K526" t="s">
        <v>30</v>
      </c>
      <c r="M526" s="1">
        <v>45658</v>
      </c>
      <c r="O526" s="2">
        <v>3.0515046296296297E-2</v>
      </c>
      <c r="P526" t="s">
        <v>31</v>
      </c>
      <c r="Q526" s="2">
        <v>3.0515046296296297E-2</v>
      </c>
      <c r="T526" t="s">
        <v>940</v>
      </c>
      <c r="V526" s="2">
        <v>3.0679398148148147E-2</v>
      </c>
      <c r="W526" t="s">
        <v>32</v>
      </c>
      <c r="X526" t="s">
        <v>368</v>
      </c>
    </row>
    <row r="527" spans="1:24" x14ac:dyDescent="0.3">
      <c r="A527" t="s">
        <v>941</v>
      </c>
      <c r="B527" t="s">
        <v>366</v>
      </c>
      <c r="C527" t="s">
        <v>26</v>
      </c>
      <c r="D527">
        <v>-120107.25</v>
      </c>
      <c r="E527">
        <v>-90000</v>
      </c>
      <c r="F527">
        <v>-120107.25</v>
      </c>
      <c r="H527">
        <v>3302000</v>
      </c>
      <c r="I527" t="s">
        <v>279</v>
      </c>
      <c r="J527" t="s">
        <v>29</v>
      </c>
      <c r="K527" t="s">
        <v>30</v>
      </c>
      <c r="M527" s="1">
        <v>45658</v>
      </c>
      <c r="O527" s="2">
        <v>3.0515046296296297E-2</v>
      </c>
      <c r="P527" t="s">
        <v>31</v>
      </c>
      <c r="Q527" s="2">
        <v>3.0515046296296297E-2</v>
      </c>
      <c r="T527" t="s">
        <v>908</v>
      </c>
      <c r="V527" s="2">
        <v>3.0679398148148147E-2</v>
      </c>
      <c r="W527" t="s">
        <v>32</v>
      </c>
      <c r="X527" t="s">
        <v>368</v>
      </c>
    </row>
    <row r="528" spans="1:24" x14ac:dyDescent="0.3">
      <c r="A528" t="s">
        <v>942</v>
      </c>
      <c r="B528" t="s">
        <v>366</v>
      </c>
      <c r="C528" t="s">
        <v>26</v>
      </c>
      <c r="D528">
        <v>-140792.44</v>
      </c>
      <c r="E528">
        <v>-105500.04</v>
      </c>
      <c r="F528">
        <v>-140792.44</v>
      </c>
      <c r="H528">
        <v>3302000</v>
      </c>
      <c r="I528" t="s">
        <v>279</v>
      </c>
      <c r="J528" t="s">
        <v>29</v>
      </c>
      <c r="K528" t="s">
        <v>30</v>
      </c>
      <c r="M528" s="1">
        <v>45658</v>
      </c>
      <c r="O528" s="2">
        <v>3.0515046296296297E-2</v>
      </c>
      <c r="P528" t="s">
        <v>31</v>
      </c>
      <c r="Q528" s="2">
        <v>3.0515046296296297E-2</v>
      </c>
      <c r="T528" t="s">
        <v>943</v>
      </c>
      <c r="V528" s="2">
        <v>3.0679398148148147E-2</v>
      </c>
      <c r="W528" t="s">
        <v>32</v>
      </c>
      <c r="X528" t="s">
        <v>368</v>
      </c>
    </row>
    <row r="529" spans="1:24" x14ac:dyDescent="0.3">
      <c r="A529" t="s">
        <v>944</v>
      </c>
      <c r="B529" t="s">
        <v>366</v>
      </c>
      <c r="C529" t="s">
        <v>26</v>
      </c>
      <c r="D529">
        <v>-144128.70000000001</v>
      </c>
      <c r="E529">
        <v>-108000</v>
      </c>
      <c r="F529">
        <v>-144128.70000000001</v>
      </c>
      <c r="H529">
        <v>3302000</v>
      </c>
      <c r="I529" t="s">
        <v>279</v>
      </c>
      <c r="J529" t="s">
        <v>29</v>
      </c>
      <c r="K529" t="s">
        <v>30</v>
      </c>
      <c r="M529" s="1">
        <v>45658</v>
      </c>
      <c r="O529" s="2">
        <v>3.0515046296296297E-2</v>
      </c>
      <c r="P529" t="s">
        <v>31</v>
      </c>
      <c r="Q529" s="2">
        <v>3.0515046296296297E-2</v>
      </c>
      <c r="T529" t="s">
        <v>945</v>
      </c>
      <c r="V529" s="2">
        <v>3.0679398148148147E-2</v>
      </c>
      <c r="W529" t="s">
        <v>32</v>
      </c>
      <c r="X529" t="s">
        <v>368</v>
      </c>
    </row>
    <row r="530" spans="1:24" x14ac:dyDescent="0.3">
      <c r="A530" t="s">
        <v>946</v>
      </c>
      <c r="B530" t="s">
        <v>25</v>
      </c>
      <c r="C530" t="s">
        <v>26</v>
      </c>
      <c r="D530">
        <v>970673.56</v>
      </c>
      <c r="E530">
        <v>693759.96</v>
      </c>
      <c r="F530">
        <v>970673.56</v>
      </c>
      <c r="G530" t="s">
        <v>38</v>
      </c>
      <c r="H530">
        <v>1240001</v>
      </c>
      <c r="I530" t="s">
        <v>123</v>
      </c>
      <c r="J530" t="s">
        <v>29</v>
      </c>
      <c r="K530" t="s">
        <v>30</v>
      </c>
      <c r="M530" s="1">
        <v>45658</v>
      </c>
      <c r="O530" s="2">
        <v>3.0515046296296297E-2</v>
      </c>
      <c r="P530" t="s">
        <v>31</v>
      </c>
      <c r="Q530" s="2">
        <v>3.0515046296296297E-2</v>
      </c>
      <c r="V530" s="2">
        <v>3.0679398148148147E-2</v>
      </c>
      <c r="W530" t="s">
        <v>32</v>
      </c>
      <c r="X530" t="s">
        <v>30</v>
      </c>
    </row>
    <row r="531" spans="1:24" x14ac:dyDescent="0.3">
      <c r="A531" t="s">
        <v>947</v>
      </c>
      <c r="B531" t="s">
        <v>25</v>
      </c>
      <c r="C531" t="s">
        <v>26</v>
      </c>
      <c r="D531">
        <v>-178002.44</v>
      </c>
      <c r="E531">
        <v>-131057.61</v>
      </c>
      <c r="F531">
        <v>-178002.44</v>
      </c>
      <c r="G531" t="s">
        <v>38</v>
      </c>
      <c r="H531">
        <v>1240001</v>
      </c>
      <c r="I531" t="s">
        <v>123</v>
      </c>
      <c r="J531" t="s">
        <v>29</v>
      </c>
      <c r="K531" t="s">
        <v>30</v>
      </c>
      <c r="M531" s="1">
        <v>45658</v>
      </c>
      <c r="O531" s="2">
        <v>3.0515046296296297E-2</v>
      </c>
      <c r="P531" t="s">
        <v>31</v>
      </c>
      <c r="Q531" s="2">
        <v>3.0515046296296297E-2</v>
      </c>
      <c r="T531" t="s">
        <v>930</v>
      </c>
      <c r="V531" s="2">
        <v>3.0679398148148147E-2</v>
      </c>
      <c r="W531" t="s">
        <v>32</v>
      </c>
      <c r="X5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 G</dc:creator>
  <cp:lastModifiedBy>Ananth G</cp:lastModifiedBy>
  <dcterms:created xsi:type="dcterms:W3CDTF">2025-12-09T12:50:47Z</dcterms:created>
  <dcterms:modified xsi:type="dcterms:W3CDTF">2025-12-09T12:54:29Z</dcterms:modified>
</cp:coreProperties>
</file>